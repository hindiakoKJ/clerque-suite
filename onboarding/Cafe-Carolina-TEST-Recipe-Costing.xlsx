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Ingredients" state="visible" r:id="rId5"/>
    <sheet sheetId="3" name="Sauce Batches" state="visible" r:id="rId6"/>
    <sheet sheetId="4" name="On the Plate" state="visible" r:id="rId7"/>
    <sheet sheetId="5" name="Answers" state="visible" r:id="rId8"/>
    <sheet sheetId="6" name="Lists" state="hidden" r:id="rId9"/>
  </sheets>
  <calcPr calcId="171027" fullCalcOnLoad="1"/>
</workbook>
</file>

<file path=xl/sharedStrings.xml><?xml version="1.0" encoding="utf-8"?>
<sst xmlns="http://schemas.openxmlformats.org/spreadsheetml/2006/main" count="1214" uniqueCount="531">
  <si>
    <t>Cafe Carolina (TEST) - recipe costing</t>
  </si>
  <si>
    <t>Right now Clerque cannot tell you what a plate of wings costs, and it is not because anything is broken. Two things are genuinely not written down anywhere.</t>
  </si>
  <si>
    <t/>
  </si>
  <si>
    <t>First, 18 ingredients have no price at all - the soy sauce, the honey, the butter, the salt. A dish made of those is costed as if it were free.</t>
  </si>
  <si>
    <t>Second, nobody has ever measured how much sauce comes out of a pot. Without that, there is no way to know what a spoonful costs, however carefully everything else is counted.</t>
  </si>
  <si>
    <t>There are four questions, and a cook can answer all of them</t>
  </si>
  <si>
    <t>1.  What does one pack of each ingredient cost?          -&gt;  the "Ingredients" tab</t>
  </si>
  <si>
    <t>2.  What goes into ONE POT of each sauce?                -&gt;  the "Sauce Batches" tab</t>
  </si>
  <si>
    <t>3.  How much comes OUT of that pot?                      -&gt;  the "Sauce Batches" tab</t>
  </si>
  <si>
    <t>4.  How much sauce goes on ONE PLATE?                    -&gt;  the "On the Plate" tab</t>
  </si>
  <si>
    <t>Nobody is asked how many servings a pot makes. That is question 3 divided by question 4, and the "Answers" tab works it out.</t>
  </si>
  <si>
    <t>How to fill it in</t>
  </si>
  <si>
    <t>Only the shaded cells need anything. Everything else is either what Clerque already holds, or a number that works itself out as you type.</t>
  </si>
  <si>
    <t>Ingredient names come from a dropdown. Please use it rather than typing - a name that differs by one letter becomes a second ingredient with its own stock and its own cost. This shop already has "Chicken Wings" and "Chicken wings" as two separate things.</t>
  </si>
  <si>
    <t>You only have to measure a pot ONCE. If later pots come out different, say so and we will change the number.</t>
  </si>
  <si>
    <t>Half-filled is fine. Send it back with what you know - every sauce that is finished starts costing correctly on its own.</t>
  </si>
  <si>
    <t>For whoever loads this back into Clerque</t>
  </si>
  <si>
    <t>The "Ingredients" tab is deliberately the importer's own sheet: its name, its headers and its hint row are byte-for-byte what Settings -&gt; Import Templates -&gt; Import expects on the INGREDIENTS row. Upload it there and nowhere else - parseFile falls back to the first sheet in the file when the name does not match, so uploading it on another row would parse this page as data.</t>
  </si>
  <si>
    <t>Recipe Unit is prefilled and locked on every row. Left blank, an upload would overwrite the stored unit and leave the stock count behind it unscaled - butter held in grams would become butter held in kilos, with the same number on the shelf.</t>
  </si>
  <si>
    <t>The pot amounts and the yields have no import path at all: there is no sheet, header or parser for sub-recipes anywhere in the import module. They are typed into Procure -&gt; Prep &amp; Batches -&gt; Set up.</t>
  </si>
  <si>
    <t>Prices alone will not recost a sauce. A sub-recipe's cost is only ever written inside makeBatch's weighted-average blend, so after the prices land, each prep needs one batch recorded - with the measured yield in "Measured what came out?" - before the sauce carries a cost. That field is the total for the whole submission, not per batch.</t>
  </si>
  <si>
    <t>Recording a batch also needs the components in stock at that branch, or makeBatch refuses on the first one that is short.</t>
  </si>
  <si>
    <t>A sub-recipe does no unit conversion of its own: every component line is multiplied by that ingredient's cost raw, so pot amounts must be in the ingredient's own unit. The Unit column on the Sauce Batches tab shows what that is for every line.</t>
  </si>
  <si>
    <t>What this does NOT account for</t>
  </si>
  <si>
    <t>Waste. The sheet works out cost per plate as the pot divided by the plates it makes, which quietly assumes every pot is sold to the last gram - no scrapings, no spoilage, no batch thrown out at close. Real cost per plate is a few per cent higher than what you see here.</t>
  </si>
  <si>
    <t>Anything on the plate that is not the sauce and not the main item - the oil it was fried in, the packaging, the labour. Those sit outside this file.</t>
  </si>
  <si>
    <t>And these prices do not stay put. The first stock delivery you record in Clerque recomputes the ingredient cost as a weighted average of what you actually paid, which is the right behaviour and will move these numbers. What this sheet fixes is the starting point, not the price forever.</t>
  </si>
  <si>
    <t>Still to decide</t>
  </si>
  <si>
    <t>Chicken wings are counted in pieces (pc) today. If they are to be counted in grams instead - which is the more honest unit for something bought by the kilo - that is a change to the ingredient and to the recipe lines, not something this sheet can do.</t>
  </si>
  <si>
    <t>These names differ only by capitalisation and are separate ingredients in Clerque today: "Brown sugar", "Brown Sugar", "Knorr liquid seasoning", "Knorr Liquid Seasoning", "parmesan cheese", "Parmesan Cheese". Worth merging before any of this is loaded.</t>
  </si>
  <si>
    <t>Generated from carolina-test - 361 ingredients, 7 dishes, 1 existing preps.</t>
  </si>
  <si>
    <t>What these cost - Cafe Carolina (TEST)</t>
  </si>
  <si>
    <t>These 18 ingredients have no price in Clerque, so every dish that uses one is costed as if it were free. Nothing else in this file works until they are filled in.</t>
  </si>
  <si>
    <t>Write the price of ONE of whatever you BUY - one kilo, one bottle, one pack. Do not divide it down yourself; the last column does that. If you buy it in a container (a pack, a bottle, a can), also say how many grams or millilitres are inside one, under Pack Size.</t>
  </si>
  <si>
    <t>Only the shaded cells are yours. The name and the Recipe Unit are what Clerque already holds - changing either one would create a second copy of the ingredient.</t>
  </si>
  <si>
    <t>Name*</t>
  </si>
  <si>
    <t>Unit*</t>
  </si>
  <si>
    <t>Cost per Unit (₱)*</t>
  </si>
  <si>
    <t>Low Stock Alert</t>
  </si>
  <si>
    <t>Notes</t>
  </si>
  <si>
    <t>Recipe Unit</t>
  </si>
  <si>
    <t>Pack Size</t>
  </si>
  <si>
    <t>Category</t>
  </si>
  <si>
    <t>What that works out to (₱ per recipe unit)</t>
  </si>
  <si>
    <t>Check</t>
  </si>
  <si>
    <t>Required. Unique within tenant.</t>
  </si>
  <si>
    <t>Required. How you BUY it: L / kg / carton / pc / bottle.</t>
  </si>
  <si>
    <t>REQUIRED. Price of ONE of the unit above. Do not pre-divide.</t>
  </si>
  <si>
    <t>Optional. Stock-low threshold, in Recipe Units.</t>
  </si>
  <si>
    <t>Optional. Free text.</t>
  </si>
  <si>
    <t>Optional. How a RECIPE uses it: ml / g / pc. Blank = same as Unit.</t>
  </si>
  <si>
    <t>Only for containers. How many Recipe Units in one Unit.</t>
  </si>
  <si>
    <t>Optional. Ingredient / Kitchen Supply / Bar Supply / Office Supply. Blank = Ingredient.</t>
  </si>
  <si>
    <t>Worked out for you. Leave this one alone.</t>
  </si>
  <si>
    <t>Speaks up if a price looks like it belongs to a different size.</t>
  </si>
  <si>
    <t>Apple cider vinegar</t>
  </si>
  <si>
    <t>Used in: Herbed Honey Garlic</t>
  </si>
  <si>
    <t>g</t>
  </si>
  <si>
    <t>Butter</t>
  </si>
  <si>
    <t>Used in: Buffalo Wings, Garlic Chicken, Garlic Parmesan, Herbed Honey Garlic, Teriyaki Wings</t>
  </si>
  <si>
    <t>Cayenne pepper</t>
  </si>
  <si>
    <t>Used in: Buffalo Wings</t>
  </si>
  <si>
    <t>Dried rosemary</t>
  </si>
  <si>
    <t>Dried thyme</t>
  </si>
  <si>
    <t>Flour</t>
  </si>
  <si>
    <t>Used in: Buffalo Wings, Herbed Honey Garlic</t>
  </si>
  <si>
    <t>Garlic powder</t>
  </si>
  <si>
    <t>Used in: Sweet &amp; Spicy BBQ, Teriyaki Wings, Teriyaki Sauce (frozen)</t>
  </si>
  <si>
    <t>Ginger</t>
  </si>
  <si>
    <t>Used in: Teriyaki Wings, Teriyaki Sauce (frozen)</t>
  </si>
  <si>
    <t>Honey</t>
  </si>
  <si>
    <t>Used in: Garlic Parmesan, Herbed Honey Garlic, Honey Sriracha</t>
  </si>
  <si>
    <t>Ketchup</t>
  </si>
  <si>
    <t>Used in: Sweet &amp; Spicy BBQ</t>
  </si>
  <si>
    <t>Oil</t>
  </si>
  <si>
    <t>Paprika</t>
  </si>
  <si>
    <t>parmesan cheese</t>
  </si>
  <si>
    <t>Looks like a duplicate of "Parmesan Cheese", which already has a price. Probably delete this one rather than price the same thing twice.</t>
  </si>
  <si>
    <t>Parsley</t>
  </si>
  <si>
    <t>Used in: Garlic Parmesan, Herbed Honey Garlic</t>
  </si>
  <si>
    <t>Pepper</t>
  </si>
  <si>
    <t>Salt</t>
  </si>
  <si>
    <t>Soy sauce</t>
  </si>
  <si>
    <t>Used in: Herbed Honey Garlic, Teriyaki Wings, Teriyaki Sauce (frozen)</t>
  </si>
  <si>
    <t>Sriracha</t>
  </si>
  <si>
    <t>Used in: Buffalo Wings, Honey Sriracha, Sweet &amp; Spicy BBQ</t>
  </si>
  <si>
    <t>One pot at a time - Cafe Carolina (TEST)</t>
  </si>
  <si>
    <t>For each sauce: write what goes into ONE POT, then weigh or measure what comes out. That second number is the one nobody has, and it is the one that decides what the sauce costs - cost per millilitre is simply what went in, divided by what came out.</t>
  </si>
  <si>
    <t>You only have to measure the pot ONCE. If the next pot comes out different, tell us and we will change it.</t>
  </si>
  <si>
    <t>PREP: Teriyaki Sauce (frozen)</t>
  </si>
  <si>
    <t>Clerque already holds this as a prep, assuming one batch makes 2,000 ml - nobody has checked that number against a jug.</t>
  </si>
  <si>
    <t>Ingredient</t>
  </si>
  <si>
    <t>Unit</t>
  </si>
  <si>
    <t>Your recipe today (per pot)</t>
  </si>
  <si>
    <t>Goes into ONE POT</t>
  </si>
  <si>
    <t>₱ this costs</t>
  </si>
  <si>
    <t>Sugar</t>
  </si>
  <si>
    <t>Chicken powder</t>
  </si>
  <si>
    <t>Water</t>
  </si>
  <si>
    <t>TOTAL that goes into the pot</t>
  </si>
  <si>
    <t>How much comes OUT of the pot  &lt;- measure this once</t>
  </si>
  <si>
    <t>ml</t>
  </si>
  <si>
    <t>So ONE unit of this sauce costs</t>
  </si>
  <si>
    <t>SAUCE FOR: Buffalo Wings</t>
  </si>
  <si>
    <t>The amounts below are what the recipe says goes on ONE PLATE. Write the POT amounts beside them. Leave the pot column blank for anything that is not part of the sauce, like the chicken itself.</t>
  </si>
  <si>
    <t>Your recipe today (per plate)</t>
  </si>
  <si>
    <t>Chili powder</t>
  </si>
  <si>
    <t>Ground Black Pepper</t>
  </si>
  <si>
    <t>Sesame Seed</t>
  </si>
  <si>
    <t>SAUCE FOR: Garlic Chicken</t>
  </si>
  <si>
    <t>Garlic</t>
  </si>
  <si>
    <t>Knorr Liquid Seasoning</t>
  </si>
  <si>
    <t>SAUCE FOR: Garlic Parmesan</t>
  </si>
  <si>
    <t>Parmesan Cheese</t>
  </si>
  <si>
    <t>SAUCE FOR: Herbed Honey Garlic</t>
  </si>
  <si>
    <t>Grated Parmesan</t>
  </si>
  <si>
    <t>SAUCE FOR: Honey Sriracha</t>
  </si>
  <si>
    <t>SAUCE FOR: Sweet &amp; Spicy BBQ</t>
  </si>
  <si>
    <t>Brown Sugar</t>
  </si>
  <si>
    <t>Onion powder</t>
  </si>
  <si>
    <t>SAUCE FOR: Teriyaki Wings</t>
  </si>
  <si>
    <t>Teriyaki Sauce (ready)</t>
  </si>
  <si>
    <t>What one plate costs - Cafe Carolina (TEST)</t>
  </si>
  <si>
    <t>Two numbers per dish: how much sauce goes on one plate, and how much chicken. Everything to the right of them works itself out - including how many plates one pot makes, which is why nobody is asked to count servings.</t>
  </si>
  <si>
    <t>If measuring a ladle is awkward, answer the other one instead: how many plates does ONE POT do? Ilang plato ang kaya ng isang kaldero? Either answer gives the same result, and you only need one of the two.</t>
  </si>
  <si>
    <t>The main item is whatever the plate is actually made of. Five of these dishes have no chicken in the recipe at all today, which is why they look almost free to make.</t>
  </si>
  <si>
    <t>Dish</t>
  </si>
  <si>
    <t>Sells for ₱</t>
  </si>
  <si>
    <t>Sauce on one plate</t>
  </si>
  <si>
    <t>unit</t>
  </si>
  <si>
    <t>...or plates from one pot</t>
  </si>
  <si>
    <t>→ sauce per plate used</t>
  </si>
  <si>
    <t>Main item (the meat)</t>
  </si>
  <si>
    <t>How much on one plate</t>
  </si>
  <si>
    <t>→ sauce costs</t>
  </si>
  <si>
    <t>→ main item costs</t>
  </si>
  <si>
    <t>→ COST PER PLATE</t>
  </si>
  <si>
    <t>→ you keep</t>
  </si>
  <si>
    <t>→ margin</t>
  </si>
  <si>
    <t>→ plates per pot</t>
  </si>
  <si>
    <t>What it sells for now.</t>
  </si>
  <si>
    <t>Ilang gramo o ml sa isang plato? Measure the ladle once.</t>
  </si>
  <si>
    <t>Ilang plato ang kaya ng isang kaldero? Answer this OR the one on the left.</t>
  </si>
  <si>
    <t>Whichever of the two you answered.</t>
  </si>
  <si>
    <t>Pick from the list.</t>
  </si>
  <si>
    <t>Grams, or pieces - whatever the unit says.</t>
  </si>
  <si>
    <t>Worked out for you.</t>
  </si>
  <si>
    <t>Speaks up if the same thing is counted twice.</t>
  </si>
  <si>
    <t>Buffalo Wings</t>
  </si>
  <si>
    <t>Chicken wings</t>
  </si>
  <si>
    <t>Garlic Chicken</t>
  </si>
  <si>
    <t>Garlic Parmesan</t>
  </si>
  <si>
    <t>Herbed Honey Garlic</t>
  </si>
  <si>
    <t>Honey Sriracha</t>
  </si>
  <si>
    <t>Sweet &amp; Spicy BBQ</t>
  </si>
  <si>
    <t>Teriyaki Wings</t>
  </si>
  <si>
    <t>The answers - Cafe Carolina (TEST)</t>
  </si>
  <si>
    <t>This page fills itself in. Nothing here is typed.</t>
  </si>
  <si>
    <t>Prices still missing</t>
  </si>
  <si>
    <t>out of 18 ingredients. Every dish using one is costed as free.</t>
  </si>
  <si>
    <t>Thinnest margin</t>
  </si>
  <si>
    <t>The dish to look at first.</t>
  </si>
  <si>
    <t>Fattest margin</t>
  </si>
  <si>
    <t>Costs to make</t>
  </si>
  <si>
    <t>You keep</t>
  </si>
  <si>
    <t>Margin</t>
  </si>
  <si>
    <t>Plates per pot</t>
  </si>
  <si>
    <t>Cost per recipe unit</t>
  </si>
  <si>
    <t>Recipe unit</t>
  </si>
  <si>
    <t>family</t>
  </si>
  <si>
    <t>perBase</t>
  </si>
  <si>
    <t>555 Sardines Spanish Style</t>
  </si>
  <si>
    <t>mg</t>
  </si>
  <si>
    <t>mass</t>
  </si>
  <si>
    <t>Agave Syrup</t>
  </si>
  <si>
    <t>Alaska Condensada</t>
  </si>
  <si>
    <t>kg</t>
  </si>
  <si>
    <t>Alaska Evaporated Milk</t>
  </si>
  <si>
    <t>oz</t>
  </si>
  <si>
    <t>All Purpose Flour</t>
  </si>
  <si>
    <t>lb</t>
  </si>
  <si>
    <t>Aluminum Foil 30cm x 8m</t>
  </si>
  <si>
    <t>box</t>
  </si>
  <si>
    <t>volume</t>
  </si>
  <si>
    <t>cl</t>
  </si>
  <si>
    <t>Arabica Roasted Beans Medium Dark</t>
  </si>
  <si>
    <t>l</t>
  </si>
  <si>
    <t>Argentina Corned Beef</t>
  </si>
  <si>
    <t>tsp</t>
  </si>
  <si>
    <t>Arla Milk Full Cream</t>
  </si>
  <si>
    <t>L</t>
  </si>
  <si>
    <t>tbsp</t>
  </si>
  <si>
    <t>Atchara</t>
  </si>
  <si>
    <t>cup</t>
  </si>
  <si>
    <t>Atsal</t>
  </si>
  <si>
    <t>pack</t>
  </si>
  <si>
    <t>floz</t>
  </si>
  <si>
    <t>Baker's Best by 2</t>
  </si>
  <si>
    <t>gram</t>
  </si>
  <si>
    <t>Balducci Penne</t>
  </si>
  <si>
    <t>grams</t>
  </si>
  <si>
    <t>Bambi Nachos</t>
  </si>
  <si>
    <t>kilo</t>
  </si>
  <si>
    <t>Bambi Nachos Chips</t>
  </si>
  <si>
    <t>kilogram</t>
  </si>
  <si>
    <t>Beef Filipin</t>
  </si>
  <si>
    <t>kilograms</t>
  </si>
  <si>
    <t>Beef Steak</t>
  </si>
  <si>
    <t>milliliter</t>
  </si>
  <si>
    <t>Beef Tapa</t>
  </si>
  <si>
    <t>millilitre</t>
  </si>
  <si>
    <t>Beryl's Chips</t>
  </si>
  <si>
    <t>pc</t>
  </si>
  <si>
    <t>li</t>
  </si>
  <si>
    <t>Best Food Mayo Magic</t>
  </si>
  <si>
    <t>liter</t>
  </si>
  <si>
    <t>Biogenic Isoprophyl Alcohol Spray</t>
  </si>
  <si>
    <t>litre</t>
  </si>
  <si>
    <t>Biscoff Biscuit</t>
  </si>
  <si>
    <t>liters</t>
  </si>
  <si>
    <t>Biscoff Crumbs</t>
  </si>
  <si>
    <t>litres</t>
  </si>
  <si>
    <t>Biscoff Crushed</t>
  </si>
  <si>
    <t>Biscoff Spread</t>
  </si>
  <si>
    <t>Biscoff Topping</t>
  </si>
  <si>
    <t>Blueberry Jam</t>
  </si>
  <si>
    <t>Blueberry Syrup</t>
  </si>
  <si>
    <t>Breve Milk</t>
  </si>
  <si>
    <t>Brown sugar</t>
  </si>
  <si>
    <t>Calamansi</t>
  </si>
  <si>
    <t>Campbell Cream of Mushroom B1T1</t>
  </si>
  <si>
    <t>can</t>
  </si>
  <si>
    <t>Caramel Sauce</t>
  </si>
  <si>
    <t>CDO Chicken Ham</t>
  </si>
  <si>
    <t>CDO Hamburger Patty</t>
  </si>
  <si>
    <t>CDO Highlands Premium</t>
  </si>
  <si>
    <t>Century Tuna Chuncks in Veg oil</t>
  </si>
  <si>
    <t>Chicken Breast</t>
  </si>
  <si>
    <t>Chicken Knoor Cubes</t>
  </si>
  <si>
    <t>Chicken Longganisa</t>
  </si>
  <si>
    <t>Chicken Thighs</t>
  </si>
  <si>
    <t>Chizboy Shredded Cheddar</t>
  </si>
  <si>
    <t>Chocolate Chips</t>
  </si>
  <si>
    <t>Clara Ole Cheesy pesto</t>
  </si>
  <si>
    <t>Coconut water</t>
  </si>
  <si>
    <t>Coffee Beans</t>
  </si>
  <si>
    <t>Coffee Cups 12oz w/ Lid</t>
  </si>
  <si>
    <t>Cold Cup 12oz</t>
  </si>
  <si>
    <t>Cold Cup 16oz</t>
  </si>
  <si>
    <t>Condensed Milk</t>
  </si>
  <si>
    <t>Cornstarch</t>
  </si>
  <si>
    <t>Cream Cheese Salted Powder</t>
  </si>
  <si>
    <t>Cream cheese supreme</t>
  </si>
  <si>
    <t>Crushed Oreo</t>
  </si>
  <si>
    <t>CS Basil Pesto</t>
  </si>
  <si>
    <t>Cucumber</t>
  </si>
  <si>
    <t>D. Elena Penne Pasta</t>
  </si>
  <si>
    <t>Da Vinci pump sauce</t>
  </si>
  <si>
    <t>bottle</t>
  </si>
  <si>
    <t>Da Vinci Salted Caramel</t>
  </si>
  <si>
    <t>Da Vinci Salted Caramel Sauce</t>
  </si>
  <si>
    <t>Dari Creme Butter Classic</t>
  </si>
  <si>
    <t>Datu Puti Vinegar - Soy Sauce</t>
  </si>
  <si>
    <t>DaVinci Gourmet Chocolate Sauce</t>
  </si>
  <si>
    <t>DaVinci Salted Caramel Sauce</t>
  </si>
  <si>
    <t>DB Cup 16oz</t>
  </si>
  <si>
    <t>DB Dome</t>
  </si>
  <si>
    <t>DB Dome Lid</t>
  </si>
  <si>
    <t>DB Elegant Cup 12oz</t>
  </si>
  <si>
    <t>DB Elegant Cup 16oz</t>
  </si>
  <si>
    <t>DB Flat Lid</t>
  </si>
  <si>
    <t>DB Strawless Lid</t>
  </si>
  <si>
    <t>Del Monte Italian Sauce By 2</t>
  </si>
  <si>
    <t>Del Monte Tomato Sauce</t>
  </si>
  <si>
    <t>Delisun Plain flour</t>
  </si>
  <si>
    <t>Dilman Oolong Tea w/ peach</t>
  </si>
  <si>
    <t>Disposable Face Mask</t>
  </si>
  <si>
    <t>Doking Blueberry</t>
  </si>
  <si>
    <t>Doking Blueberry Jam</t>
  </si>
  <si>
    <t>Doking Kiwi</t>
  </si>
  <si>
    <t>Doking Kiwi Jam</t>
  </si>
  <si>
    <t>Doking Passion Fruit Jam</t>
  </si>
  <si>
    <t>Doking Strawberry</t>
  </si>
  <si>
    <t>Doking Strawberry Jam</t>
  </si>
  <si>
    <t>Dolce Vita Sun Dried Tomatos in oil</t>
  </si>
  <si>
    <t>Dome Lid ( Cold )</t>
  </si>
  <si>
    <t>Domex Thick Cleaner</t>
  </si>
  <si>
    <t>Dona Elena Crushed Tomatoes</t>
  </si>
  <si>
    <t>Dona Elena Flat Anch</t>
  </si>
  <si>
    <t>Dona Elena Olive Oil</t>
  </si>
  <si>
    <t>Dona Elena Olive Oil Pomace</t>
  </si>
  <si>
    <t>Doña Elena Penne</t>
  </si>
  <si>
    <t>Dona Elena Sard Oliv</t>
  </si>
  <si>
    <t>Dona Elena WP Tomatoes</t>
  </si>
  <si>
    <t>Dried Lemon</t>
  </si>
  <si>
    <t>Easy Pro Blueberry Syrup</t>
  </si>
  <si>
    <t>Easy Pro Strawberry Syrup</t>
  </si>
  <si>
    <t>Eden Cheese</t>
  </si>
  <si>
    <t>Eden Singles 10pcs</t>
  </si>
  <si>
    <t>Egg Large</t>
  </si>
  <si>
    <t>Emborg American Cheese Slice - 10</t>
  </si>
  <si>
    <t>Emborg Cream Cheese</t>
  </si>
  <si>
    <t>Emborg FF Crinkle Cut</t>
  </si>
  <si>
    <t>Emborg FF Shoestring</t>
  </si>
  <si>
    <t>Emborg FF Straightcut</t>
  </si>
  <si>
    <t>Emborg Fresh Milk</t>
  </si>
  <si>
    <t>Emborg Full Cream Milk</t>
  </si>
  <si>
    <t>Emborg Natural Yogurt</t>
  </si>
  <si>
    <t>Emborg Perfect Slice</t>
  </si>
  <si>
    <t>Emborg Potato Wedge</t>
  </si>
  <si>
    <t>Emborg Shredded Mozzarella</t>
  </si>
  <si>
    <t>Emborg Sliced Cheese</t>
  </si>
  <si>
    <t>Emborg UHT Coooking</t>
  </si>
  <si>
    <t>Emborg Whip Topping</t>
  </si>
  <si>
    <t>Emborg Whipping Cream</t>
  </si>
  <si>
    <t>Emborg Yogurt</t>
  </si>
  <si>
    <t>Energizer AA</t>
  </si>
  <si>
    <t>Everwhip</t>
  </si>
  <si>
    <t>Femma Paper Towel</t>
  </si>
  <si>
    <t>Femme PT interfolded</t>
  </si>
  <si>
    <t>Ferna Baking Soda</t>
  </si>
  <si>
    <t>Fiamma Whole peeled Tomatoes</t>
  </si>
  <si>
    <t>Figaro Black Olives</t>
  </si>
  <si>
    <t>Figaro Slice Olive</t>
  </si>
  <si>
    <t>Fisherfarm smoked bangus</t>
  </si>
  <si>
    <t>Food Keeper</t>
  </si>
  <si>
    <t>Frappese Powder</t>
  </si>
  <si>
    <t>French Mustard</t>
  </si>
  <si>
    <t>Fresh Dill</t>
  </si>
  <si>
    <t>Fresh Eggs Medium</t>
  </si>
  <si>
    <t>Fresh Leaves Mint</t>
  </si>
  <si>
    <t>Fresh Peppermint</t>
  </si>
  <si>
    <t>Fresh Tomato</t>
  </si>
  <si>
    <t>Fresh Tomatoes</t>
  </si>
  <si>
    <t>Fried Garlic</t>
  </si>
  <si>
    <t>Fry Pan 14cm</t>
  </si>
  <si>
    <t>Fusilli</t>
  </si>
  <si>
    <t>Garbage bag 33 x 91 cm Knock box</t>
  </si>
  <si>
    <t>Gasul Refill</t>
  </si>
  <si>
    <t>Gato Burger buns</t>
  </si>
  <si>
    <t>Ginisa flavor mix</t>
  </si>
  <si>
    <t>Glow paper coffee cup</t>
  </si>
  <si>
    <t>Golden Bee B/cups</t>
  </si>
  <si>
    <t>Good life Bread Crumbs</t>
  </si>
  <si>
    <t>Good life Seasame oil</t>
  </si>
  <si>
    <t>Goodlife Bread Crumbs</t>
  </si>
  <si>
    <t>Ground Beef</t>
  </si>
  <si>
    <t>Ground Pork</t>
  </si>
  <si>
    <t>Hazelnut Syrup</t>
  </si>
  <si>
    <t>HF Sriracha Hot Chili</t>
  </si>
  <si>
    <t>Hojicha Powder</t>
  </si>
  <si>
    <t>Hot Cup 12oz</t>
  </si>
  <si>
    <t>Hot Lid</t>
  </si>
  <si>
    <t>Hungarian Sausage</t>
  </si>
  <si>
    <t>Ice</t>
  </si>
  <si>
    <t>Ice Cubes</t>
  </si>
  <si>
    <t>Ice Cubes + Delivery</t>
  </si>
  <si>
    <t>Ideal Linguine</t>
  </si>
  <si>
    <t>Ideal Linguine Pasta</t>
  </si>
  <si>
    <t>Jade Dishwashing Liquid Calamansi</t>
  </si>
  <si>
    <t>Jolly Cream of Mushroom</t>
  </si>
  <si>
    <t>Jolly mixed mushroom</t>
  </si>
  <si>
    <t>Jolly Mushroom pieces and stem</t>
  </si>
  <si>
    <t>Jolly Mushroom Pieces and Stems</t>
  </si>
  <si>
    <t>Jolly sliced shitake</t>
  </si>
  <si>
    <t>Jolly Whole Kernel</t>
  </si>
  <si>
    <t>Jom's Sesame Seed</t>
  </si>
  <si>
    <t>Kablom Ground black pepper</t>
  </si>
  <si>
    <t>KCC Repack Cornstarch</t>
  </si>
  <si>
    <t>KCC Repack Flour</t>
  </si>
  <si>
    <t>Kewpie Mayonnaise Japanese Style</t>
  </si>
  <si>
    <t>Kiwi Jam</t>
  </si>
  <si>
    <t>Kleen-It Dishwashing Liquid</t>
  </si>
  <si>
    <t>Knorr Beef Cubes</t>
  </si>
  <si>
    <t>Knorr beef cubes pan</t>
  </si>
  <si>
    <t>Knorr Chicken Powder</t>
  </si>
  <si>
    <t>Knorr liquid seasoning</t>
  </si>
  <si>
    <t>Knorr Mushroom Soup</t>
  </si>
  <si>
    <t>Kraft BBQ Sauce</t>
  </si>
  <si>
    <t>Kraft Eden Cheese</t>
  </si>
  <si>
    <t>Kraft Grated Parmesan</t>
  </si>
  <si>
    <t>Lady Finger</t>
  </si>
  <si>
    <t>Lea &amp; Perrins Worcestershire sauce</t>
  </si>
  <si>
    <t>Lee Kum Kee Hoishin Sauce</t>
  </si>
  <si>
    <t>Lemon</t>
  </si>
  <si>
    <t>Lettuce Romain</t>
  </si>
  <si>
    <t>Longgo Espresso Shot</t>
  </si>
  <si>
    <t>Lotus Biscoff Spread</t>
  </si>
  <si>
    <t>Lotus Biscoff Spread Smooth</t>
  </si>
  <si>
    <t>Lotus Biscoff Toppings</t>
  </si>
  <si>
    <t>Lysol Disinfectant</t>
  </si>
  <si>
    <t>Macha Powder ( Shrinker )</t>
  </si>
  <si>
    <t>Magnolia Butter Salted</t>
  </si>
  <si>
    <t>Magnolia Cheese Blocks</t>
  </si>
  <si>
    <t>Magnolia Cheese Sauce</t>
  </si>
  <si>
    <t>Magnolia Quickmelt</t>
  </si>
  <si>
    <t>Magnolia Real Mayo</t>
  </si>
  <si>
    <t>Mama Sita BBQ Marinade</t>
  </si>
  <si>
    <t>Mama Sita Oyster Sauce</t>
  </si>
  <si>
    <t>Manna Kimchi</t>
  </si>
  <si>
    <t>Marpe White/light wild honey</t>
  </si>
  <si>
    <t>MC black pepper</t>
  </si>
  <si>
    <t>MC Chili powder</t>
  </si>
  <si>
    <t>Mc Cormick Iodized Salt</t>
  </si>
  <si>
    <t>Mc Cormick Onion powder</t>
  </si>
  <si>
    <t>Mc Cormick Spanish Paprika</t>
  </si>
  <si>
    <t>MC Iodized Salt</t>
  </si>
  <si>
    <t>MC Red cayenne pepper</t>
  </si>
  <si>
    <t>McCormick Cumun seed Grounded</t>
  </si>
  <si>
    <t>Mccormick Garlic Powder Singles by 12</t>
  </si>
  <si>
    <t>Meadow Crushed red</t>
  </si>
  <si>
    <t>Microfiber</t>
  </si>
  <si>
    <t>Milin Sinker Nata</t>
  </si>
  <si>
    <t>Milin Sinkers Fruit Jelly</t>
  </si>
  <si>
    <t>Milk Essence Powder</t>
  </si>
  <si>
    <t>Milo activgo</t>
  </si>
  <si>
    <t>Milo Powder</t>
  </si>
  <si>
    <t>Minasa Biscuits</t>
  </si>
  <si>
    <t>Minola Cooking</t>
  </si>
  <si>
    <t>Mix Berries Puree</t>
  </si>
  <si>
    <t>Mix Berries Syrup</t>
  </si>
  <si>
    <t>Mixed Berries</t>
  </si>
  <si>
    <t>Mixing Bowl</t>
  </si>
  <si>
    <t>Moliner Pickles in vinegar</t>
  </si>
  <si>
    <t>Molinera Slice Jalapeňo</t>
  </si>
  <si>
    <t>Monin Dark Chococlate Sauce</t>
  </si>
  <si>
    <t>Monin Dark Chocolate Sauce</t>
  </si>
  <si>
    <t>Monin Pump Fruit Mix Sauce</t>
  </si>
  <si>
    <t>Mosa Cream Charger</t>
  </si>
  <si>
    <t>Mossa Cream. Charger</t>
  </si>
  <si>
    <t>MV Garlic Grind</t>
  </si>
  <si>
    <t>MV Onion Powder</t>
  </si>
  <si>
    <t>MV Oregano Flakes</t>
  </si>
  <si>
    <t>MV Parsley Flakes</t>
  </si>
  <si>
    <t>MV Pink Himalayan Salt</t>
  </si>
  <si>
    <t>MV Rosemary Flakes</t>
  </si>
  <si>
    <t>MV Spanish Paprika</t>
  </si>
  <si>
    <t>MV White pepper</t>
  </si>
  <si>
    <t>Nacho King</t>
  </si>
  <si>
    <t>Nachos chips</t>
  </si>
  <si>
    <t>Nata Shrinkers</t>
  </si>
  <si>
    <t>Nestle All purpose cream</t>
  </si>
  <si>
    <t>Nestle gtreek yogurt</t>
  </si>
  <si>
    <t>Nestle sour cream</t>
  </si>
  <si>
    <t>Neubake Bread</t>
  </si>
  <si>
    <t>Neubake White Bread</t>
  </si>
  <si>
    <t>Newbake Bread</t>
  </si>
  <si>
    <t>Oatside</t>
  </si>
  <si>
    <t>Oatside Oatmilk</t>
  </si>
  <si>
    <t>Oreo Crashed</t>
  </si>
  <si>
    <t>Oreo Crumbs</t>
  </si>
  <si>
    <t>Pancake Maple Syrup</t>
  </si>
  <si>
    <t>Passion Fruit Jam</t>
  </si>
  <si>
    <t>Perla Bar Blue</t>
  </si>
  <si>
    <t>PET 12oz Dabba</t>
  </si>
  <si>
    <t>PF Chicken Ham</t>
  </si>
  <si>
    <t>Piping tip bag</t>
  </si>
  <si>
    <t>Pipino</t>
  </si>
  <si>
    <t>Pistachio Nuts</t>
  </si>
  <si>
    <t>Potato Kingdom Crinkle Cut</t>
  </si>
  <si>
    <t>Potato kingdom extra</t>
  </si>
  <si>
    <t>Potato Kingdom Extra Long Fries</t>
  </si>
  <si>
    <t>Potato Kingdom Wedges</t>
  </si>
  <si>
    <t>Potato Kingdom XL Fries</t>
  </si>
  <si>
    <t>Potted Curly Lettuce</t>
  </si>
  <si>
    <t>PP HD roll</t>
  </si>
  <si>
    <t>Premium Matcha Powder</t>
  </si>
  <si>
    <t>Probag Ziplock 24cm x 32cm</t>
  </si>
  <si>
    <t>Purefoods Beefies Hotdog</t>
  </si>
  <si>
    <t>Purefoods Luncheon Meat</t>
  </si>
  <si>
    <t>Purefoods Star Sweet Ham</t>
  </si>
  <si>
    <t>Purified Water</t>
  </si>
  <si>
    <t>gal</t>
  </si>
  <si>
    <t>Red Onion</t>
  </si>
  <si>
    <t>Red Onions</t>
  </si>
  <si>
    <t>Regular Sweet Ham</t>
  </si>
  <si>
    <t>Roasted Almond Syrup</t>
  </si>
  <si>
    <t>Roll Tissue</t>
  </si>
  <si>
    <t>San Remo Fettucine</t>
  </si>
  <si>
    <t>San remo Linguine</t>
  </si>
  <si>
    <t>San Remo Penne Rigati</t>
  </si>
  <si>
    <t>San Remo Spaghetti</t>
  </si>
  <si>
    <t>Santini Grated Parmesan</t>
  </si>
  <si>
    <t>Saranggani Cream Dory Fillet L</t>
  </si>
  <si>
    <t>Sea Salt Cream</t>
  </si>
  <si>
    <t>Seasoned seaweed</t>
  </si>
  <si>
    <t>Selecta Farm Fresh</t>
  </si>
  <si>
    <t>Selecta Fresh milk</t>
  </si>
  <si>
    <t>Skinless Longganisa</t>
  </si>
  <si>
    <t>Sliced Almond</t>
  </si>
  <si>
    <t>Sour Cream</t>
  </si>
  <si>
    <t>Soy Dspenser</t>
  </si>
  <si>
    <t>Spam Less Salt</t>
  </si>
  <si>
    <t>Spam Luncheon</t>
  </si>
  <si>
    <t>Sprite</t>
  </si>
  <si>
    <t>Storage box 36.8x25x14.7cm</t>
  </si>
  <si>
    <t>Strawberry Jam</t>
  </si>
  <si>
    <t>Strawberry Syrup</t>
  </si>
  <si>
    <t>Strawless Lid ( Cold )</t>
  </si>
  <si>
    <t>Sunbest Jalapeno Pepper</t>
  </si>
  <si>
    <t>Sureesiracha</t>
  </si>
  <si>
    <t>Taiwan Garlic</t>
  </si>
  <si>
    <t>Teriyaki Sauce (frozen)</t>
  </si>
  <si>
    <t>Tile sealant</t>
  </si>
  <si>
    <t>Top Creamery Cheesecake</t>
  </si>
  <si>
    <t>Top Creamery Matcha</t>
  </si>
  <si>
    <t>Trash Bag</t>
  </si>
  <si>
    <t>Twinnings Earl Grey Tea</t>
  </si>
  <si>
    <t>Twinnings English Breakfast</t>
  </si>
  <si>
    <t>Twinnings Four Red Fruits</t>
  </si>
  <si>
    <t>Twinnings Lemon &amp; Ginger</t>
  </si>
  <si>
    <t>Twinnings Pure Peppermint</t>
  </si>
  <si>
    <t>Ube Sauce</t>
  </si>
  <si>
    <t>UFC banana catsup</t>
  </si>
  <si>
    <t>V. Deli Hungarian Sausage</t>
  </si>
  <si>
    <t>Vanilla Syrup</t>
  </si>
  <si>
    <t>Vegetable oil</t>
  </si>
  <si>
    <t>Vinyl Gloves</t>
  </si>
  <si>
    <t>Virginia FF Straightcut</t>
  </si>
  <si>
    <t>Voniko Battery AAA</t>
  </si>
  <si>
    <t>Wheat Bread</t>
  </si>
  <si>
    <t>Whipped Cream</t>
  </si>
  <si>
    <t>White Chocolate Sauce</t>
  </si>
  <si>
    <t>White Onion</t>
  </si>
  <si>
    <t>White Sugar</t>
  </si>
  <si>
    <t>White Sugar Syrup</t>
  </si>
  <si>
    <t>Whole wheat bread</t>
  </si>
  <si>
    <t>Yogurt</t>
  </si>
  <si>
    <t>Zonrox Bleach Color Safe</t>
  </si>
  <si>
    <t>Zonrox Bleach Plus</t>
  </si>
  <si>
    <t>Zonrox Colorsafe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</si>
</sst>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000"/>
    <numFmt numFmtId="166" formatCode="0.0%"/>
  </numFmts>
  <fonts count="14" x14ac:knownFonts="1">
    <font>
      <color theme="1"/>
      <family val="2"/>
      <scheme val="minor"/>
      <sz val="11"/>
      <name val="Calibri"/>
    </font>
    <font>
      <b/>
      <color rgb="FF8B5E3C"/>
      <sz val="14"/>
    </font>
    <font>
      <i/>
      <color rgb="FF666666"/>
      <sz val="10"/>
    </font>
    <font>
      <b/>
      <color rgb="FF8B5E3C"/>
      <sz val="11"/>
    </font>
    <font>
      <i/>
      <color rgb="FF888888"/>
      <sz val="9"/>
    </font>
    <font>
      <b/>
      <color rgb="FFFFFFFF"/>
      <sz val="10"/>
    </font>
    <font>
      <b/>
      <color rgb="FF333333"/>
      <sz val="10"/>
    </font>
    <font>
      <color rgb="FF333333"/>
      <sz val="10"/>
    </font>
    <font>
      <i/>
      <color rgb="FF888888"/>
      <sz val="10"/>
    </font>
    <font>
      <color rgb="FF888888"/>
      <sz val="10"/>
    </font>
    <font>
      <color rgb="FFB4341F"/>
      <sz val="10"/>
    </font>
    <font>
      <i/>
      <color rgb="FFB4341F"/>
      <sz val="10"/>
    </font>
    <font>
      <b/>
      <color rgb="FFFFFFFF"/>
      <sz val="12"/>
    </font>
    <font>
      <b/>
      <sz val="10"/>
    </font>
  </fonts>
  <fills count="6">
    <fill>
      <patternFill patternType="none"/>
    </fill>
    <fill>
      <patternFill patternType="gray125"/>
    </fill>
    <fill>
      <patternFill patternType="solid">
        <fgColor rgb="FF8B5E3C"/>
      </patternFill>
    </fill>
    <fill>
      <patternFill patternType="solid">
        <fgColor rgb="FFF5F1EC"/>
      </patternFill>
    </fill>
    <fill>
      <patternFill patternType="solid">
        <fgColor rgb="FFFFF6E0"/>
      </patternFill>
    </fill>
    <fill>
      <patternFill patternType="solid">
        <fgColor rgb="FFEFEAE3"/>
      </patternFill>
    </fill>
  </fills>
  <borders count="2">
    <border>
      <left/>
      <right/>
      <top/>
      <bottom/>
      <diagonal/>
    </border>
    <border>
      <left style="hair">
        <color rgb="FFD8C9B4"/>
      </left>
      <right style="hair">
        <color rgb="FFD8C9B4"/>
      </right>
      <top style="hair">
        <color rgb="FFD8C9B4"/>
      </top>
      <bottom style="hair">
        <color rgb="FFD8C9B4"/>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horizontal="left" vertical="center" wrapText="1"/>
    </xf>
    <xf numFmtId="0" fontId="4" fillId="3" borderId="0" xfId="0" applyFont="1" applyFill="1" applyAlignment="1">
      <alignment vertical="top" wrapText="1"/>
    </xf>
    <xf numFmtId="0" fontId="6" fillId="0" borderId="0" xfId="0" applyFont="1"/>
    <xf numFmtId="0" fontId="7" fillId="4" borderId="1" xfId="0" applyFont="1" applyFill="1" applyBorder="1" applyProtection="1">
      <protection locked="0"/>
    </xf>
    <xf numFmtId="4" fontId="7" fillId="4" borderId="1" xfId="0" applyNumberFormat="1" applyFont="1" applyFill="1" applyBorder="1" applyProtection="1">
      <protection locked="0"/>
    </xf>
    <xf numFmtId="164" fontId="7" fillId="4" borderId="1" xfId="0" applyNumberFormat="1" applyFont="1" applyFill="1" applyBorder="1" applyProtection="1">
      <protection locked="0"/>
    </xf>
    <xf numFmtId="0" fontId="8" fillId="0" borderId="0" xfId="0" applyFont="1" applyAlignment="1">
      <alignment vertical="top" wrapText="1"/>
    </xf>
    <xf numFmtId="0" fontId="9" fillId="0" borderId="0" xfId="0" applyFont="1"/>
    <xf numFmtId="0" fontId="7" fillId="0" borderId="0" xfId="0" applyFont="1"/>
    <xf numFmtId="165" fontId="7" fillId="0" borderId="0" xfId="0" applyNumberFormat="1" applyFont="1"/>
    <xf numFmtId="49" fontId="10" fillId="0" borderId="0" xfId="0" applyNumberFormat="1" applyFont="1"/>
    <xf numFmtId="0" fontId="11" fillId="0" borderId="0" xfId="0" applyFont="1" applyAlignment="1">
      <alignment vertical="top" wrapText="1"/>
    </xf>
    <xf numFmtId="0" fontId="12" fillId="2" borderId="0" xfId="0" applyFont="1" applyFill="1" applyAlignment="1">
      <alignment vertical="center"/>
    </xf>
    <xf numFmtId="0" fontId="0" fillId="2" borderId="0" xfId="0" applyFill="1"/>
    <xf numFmtId="0" fontId="2" fillId="0" borderId="0" xfId="0" applyFont="1" applyAlignment="1">
      <alignment vertical="center"/>
    </xf>
    <xf numFmtId="49" fontId="7" fillId="0" borderId="0" xfId="0" applyNumberFormat="1" applyFont="1"/>
    <xf numFmtId="164" fontId="8" fillId="0" borderId="0" xfId="0" applyNumberFormat="1" applyFont="1"/>
    <xf numFmtId="4" fontId="7" fillId="0" borderId="0" xfId="0" applyNumberFormat="1" applyFont="1"/>
    <xf numFmtId="0" fontId="6" fillId="5" borderId="0" xfId="0" applyFont="1" applyFill="1"/>
    <xf numFmtId="0" fontId="7" fillId="5" borderId="0" xfId="0" applyFont="1" applyFill="1"/>
    <xf numFmtId="4" fontId="6" fillId="5" borderId="0" xfId="0" applyNumberFormat="1" applyFont="1" applyFill="1"/>
    <xf numFmtId="165" fontId="6" fillId="5" borderId="0" xfId="0" applyNumberFormat="1" applyFont="1" applyFill="1"/>
    <xf numFmtId="4" fontId="9" fillId="0" borderId="0" xfId="0" applyNumberFormat="1" applyFont="1"/>
    <xf numFmtId="3" fontId="7" fillId="4" borderId="1" xfId="0" applyNumberFormat="1" applyFont="1" applyFill="1" applyBorder="1" applyProtection="1">
      <protection locked="0"/>
    </xf>
    <xf numFmtId="164" fontId="9" fillId="0" borderId="0" xfId="0" applyNumberFormat="1" applyFont="1"/>
    <xf numFmtId="166" fontId="7" fillId="0" borderId="0" xfId="0" applyNumberFormat="1" applyFont="1"/>
    <xf numFmtId="3" fontId="7" fillId="0" borderId="0" xfId="0" applyNumberFormat="1" applyFont="1"/>
    <xf numFmtId="3" fontId="6" fillId="0" borderId="0" xfId="0" applyNumberFormat="1" applyFont="1"/>
    <xf numFmtId="0" fontId="8" fillId="0" borderId="0" xfId="0" applyFont="1"/>
    <xf numFmtId="49" fontId="6" fillId="0" borderId="0" xfId="0" applyNumberFormat="1" applyFont="1"/>
    <xf numFmtId="0" fontId="13" fillId="0" borderId="0" xfId="0" applyFon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FormatPr defaultRowHeight="15" outlineLevelRow="0" outlineLevelCol="0" x14ac:dyDescent="55"/>
  <cols>
    <col min="1" max="1" width="110" customWidth="1"/>
    <col min="2" max="2" width="4" customWidth="1"/>
  </cols>
  <sheetData>
    <row r="1" ht="24" customHeight="1" spans="1:2" x14ac:dyDescent="0.25">
      <c r="A1" s="1" t="s">
        <v>0</v>
      </c>
      <c r="B1" s="1"/>
    </row>
    <row r="3" ht="30" customHeight="1" spans="1:2" x14ac:dyDescent="0.25">
      <c r="A3" s="2" t="s">
        <v>1</v>
      </c>
      <c r="B3" s="2"/>
    </row>
    <row r="4" spans="1:2" x14ac:dyDescent="0.25">
      <c r="A4" s="2" t="s">
        <v>2</v>
      </c>
      <c r="B4" s="2"/>
    </row>
    <row r="5" ht="28" customHeight="1" spans="1:2" x14ac:dyDescent="0.25">
      <c r="A5" s="2" t="s">
        <v>3</v>
      </c>
      <c r="B5" s="2"/>
    </row>
    <row r="6" ht="28" customHeight="1" spans="1:2" x14ac:dyDescent="0.25">
      <c r="A6" s="2" t="s">
        <v>4</v>
      </c>
      <c r="B6" s="2"/>
    </row>
    <row r="8" spans="1:2" x14ac:dyDescent="0.25">
      <c r="A8" s="3" t="s">
        <v>5</v>
      </c>
      <c r="B8" s="3"/>
    </row>
    <row r="9" spans="1:2" x14ac:dyDescent="0.25">
      <c r="A9" s="2" t="s">
        <v>6</v>
      </c>
      <c r="B9" s="2"/>
    </row>
    <row r="10" spans="1:2" x14ac:dyDescent="0.25">
      <c r="A10" s="2" t="s">
        <v>7</v>
      </c>
      <c r="B10" s="2"/>
    </row>
    <row r="11" spans="1:2" x14ac:dyDescent="0.25">
      <c r="A11" s="2" t="s">
        <v>8</v>
      </c>
      <c r="B11" s="2"/>
    </row>
    <row r="12" spans="1:2" x14ac:dyDescent="0.25">
      <c r="A12" s="2" t="s">
        <v>9</v>
      </c>
      <c r="B12" s="2"/>
    </row>
    <row r="13" spans="1:2" x14ac:dyDescent="0.25">
      <c r="A13" s="2" t="s">
        <v>2</v>
      </c>
      <c r="B13" s="2"/>
    </row>
    <row r="14" ht="26" customHeight="1" spans="1:2" x14ac:dyDescent="0.25">
      <c r="A14" s="2" t="s">
        <v>10</v>
      </c>
      <c r="B14" s="2"/>
    </row>
    <row r="16" spans="1:2" x14ac:dyDescent="0.25">
      <c r="A16" s="3" t="s">
        <v>11</v>
      </c>
      <c r="B16" s="3"/>
    </row>
    <row r="17" ht="26" customHeight="1" spans="1:2" x14ac:dyDescent="0.25">
      <c r="A17" s="2" t="s">
        <v>12</v>
      </c>
      <c r="B17" s="2"/>
    </row>
    <row r="18" ht="34" customHeight="1" spans="1:2" x14ac:dyDescent="0.25">
      <c r="A18" s="2" t="s">
        <v>13</v>
      </c>
      <c r="B18" s="2"/>
    </row>
    <row r="19" ht="22" customHeight="1" spans="1:2" x14ac:dyDescent="0.25">
      <c r="A19" s="2" t="s">
        <v>14</v>
      </c>
      <c r="B19" s="2"/>
    </row>
    <row r="20" ht="22" customHeight="1" spans="1:2" x14ac:dyDescent="0.25">
      <c r="A20" s="2" t="s">
        <v>15</v>
      </c>
      <c r="B20" s="2"/>
    </row>
    <row r="22" spans="1:2" x14ac:dyDescent="0.25">
      <c r="A22" s="3" t="s">
        <v>16</v>
      </c>
      <c r="B22" s="3"/>
    </row>
    <row r="23" ht="40" customHeight="1" spans="1:2" x14ac:dyDescent="0.25">
      <c r="A23" s="2" t="s">
        <v>17</v>
      </c>
      <c r="B23" s="2"/>
    </row>
    <row r="24" ht="34" customHeight="1" spans="1:2" x14ac:dyDescent="0.25">
      <c r="A24" s="2" t="s">
        <v>18</v>
      </c>
      <c r="B24" s="2"/>
    </row>
    <row r="25" ht="30" customHeight="1" spans="1:2" x14ac:dyDescent="0.25">
      <c r="A25" s="2" t="s">
        <v>19</v>
      </c>
      <c r="B25" s="2"/>
    </row>
    <row r="26" ht="42" customHeight="1" spans="1:2" x14ac:dyDescent="0.25">
      <c r="A26" s="2" t="s">
        <v>20</v>
      </c>
      <c r="B26" s="2"/>
    </row>
    <row r="27" ht="24" customHeight="1" spans="1:2" x14ac:dyDescent="0.25">
      <c r="A27" s="2" t="s">
        <v>21</v>
      </c>
      <c r="B27" s="2"/>
    </row>
    <row r="28" ht="34" customHeight="1" spans="1:2" x14ac:dyDescent="0.25">
      <c r="A28" s="2" t="s">
        <v>22</v>
      </c>
      <c r="B28" s="2"/>
    </row>
    <row r="30" spans="1:2" x14ac:dyDescent="0.25">
      <c r="A30" s="3" t="s">
        <v>23</v>
      </c>
      <c r="B30" s="3"/>
    </row>
    <row r="31" ht="34" customHeight="1" spans="1:2" x14ac:dyDescent="0.25">
      <c r="A31" s="2" t="s">
        <v>24</v>
      </c>
      <c r="B31" s="2"/>
    </row>
    <row r="32" ht="26" customHeight="1" spans="1:2" x14ac:dyDescent="0.25">
      <c r="A32" s="2" t="s">
        <v>25</v>
      </c>
      <c r="B32" s="2"/>
    </row>
    <row r="33" ht="38" customHeight="1" spans="1:2" x14ac:dyDescent="0.25">
      <c r="A33" s="2" t="s">
        <v>26</v>
      </c>
      <c r="B33" s="2"/>
    </row>
    <row r="35" spans="1:2" x14ac:dyDescent="0.25">
      <c r="A35" s="3" t="s">
        <v>27</v>
      </c>
      <c r="B35" s="3"/>
    </row>
    <row r="36" ht="34" customHeight="1" spans="1:2" x14ac:dyDescent="0.25">
      <c r="A36" s="2" t="s">
        <v>28</v>
      </c>
      <c r="B36" s="2"/>
    </row>
    <row r="37" ht="30" customHeight="1" spans="1:2" x14ac:dyDescent="0.25">
      <c r="A37" s="2" t="s">
        <v>29</v>
      </c>
      <c r="B37" s="2"/>
    </row>
    <row r="39" spans="1:2" x14ac:dyDescent="0.25">
      <c r="A39" s="4" t="s">
        <v>30</v>
      </c>
      <c r="B39" s="4"/>
    </row>
  </sheetData>
  <mergeCells count="32">
    <mergeCell ref="A1:B1"/>
    <mergeCell ref="A3:B3"/>
    <mergeCell ref="A4:B4"/>
    <mergeCell ref="A5:B5"/>
    <mergeCell ref="A6:B6"/>
    <mergeCell ref="A8:B8"/>
    <mergeCell ref="A9:B9"/>
    <mergeCell ref="A10:B10"/>
    <mergeCell ref="A11:B11"/>
    <mergeCell ref="A12:B12"/>
    <mergeCell ref="A13:B13"/>
    <mergeCell ref="A14:B14"/>
    <mergeCell ref="A16:B16"/>
    <mergeCell ref="A17:B17"/>
    <mergeCell ref="A18:B18"/>
    <mergeCell ref="A19:B19"/>
    <mergeCell ref="A20:B20"/>
    <mergeCell ref="A22:B22"/>
    <mergeCell ref="A23:B23"/>
    <mergeCell ref="A24:B24"/>
    <mergeCell ref="A25:B25"/>
    <mergeCell ref="A26:B26"/>
    <mergeCell ref="A27:B27"/>
    <mergeCell ref="A28:B28"/>
    <mergeCell ref="A30:B30"/>
    <mergeCell ref="A31:B31"/>
    <mergeCell ref="A32:B32"/>
    <mergeCell ref="A33:B33"/>
    <mergeCell ref="A35:B35"/>
    <mergeCell ref="A36:B36"/>
    <mergeCell ref="A37:B37"/>
    <mergeCell ref="A39:B3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ySplit="7" topLeftCell="A8" activePane="bottomLeft" state="frozen"/>
      <selection pane="bottomLeft"/>
    </sheetView>
  </sheetViews>
  <sheetFormatPr defaultRowHeight="15" outlineLevelRow="0" outlineLevelCol="0" x14ac:dyDescent="55"/>
  <cols>
    <col min="1" max="1" width="26" customWidth="1"/>
    <col min="2" max="2" width="11" customWidth="1"/>
    <col min="3" max="3" width="18" customWidth="1"/>
    <col min="4" max="4" width="14" customWidth="1"/>
    <col min="5" max="5" width="46" customWidth="1"/>
    <col min="6" max="6" width="13" customWidth="1"/>
    <col min="7" max="7" width="11" customWidth="1"/>
    <col min="8" max="8" width="12" customWidth="1"/>
    <col min="9" max="9" width="26" customWidth="1"/>
    <col min="10" max="10" width="44" customWidth="1"/>
  </cols>
  <sheetData>
    <row r="1" ht="24" customHeight="1" spans="1:10" x14ac:dyDescent="0.25">
      <c r="A1" s="1" t="s">
        <v>31</v>
      </c>
      <c r="B1" s="1"/>
      <c r="C1" s="1"/>
      <c r="D1" s="1"/>
      <c r="E1" s="1"/>
      <c r="F1" s="1"/>
      <c r="G1" s="1"/>
      <c r="H1" s="1"/>
      <c r="I1" s="1"/>
      <c r="J1" s="1"/>
    </row>
    <row r="2" ht="30" customHeight="1" spans="1:10" x14ac:dyDescent="0.25">
      <c r="A2" s="2" t="s">
        <v>32</v>
      </c>
      <c r="B2" s="2"/>
      <c r="C2" s="2"/>
      <c r="D2" s="2"/>
      <c r="E2" s="2"/>
      <c r="F2" s="2"/>
      <c r="G2" s="2"/>
      <c r="H2" s="2"/>
      <c r="I2" s="2"/>
      <c r="J2" s="2"/>
    </row>
    <row r="3" ht="34" customHeight="1" spans="1:10" x14ac:dyDescent="0.25">
      <c r="A3" s="2" t="s">
        <v>33</v>
      </c>
      <c r="B3" s="2"/>
      <c r="C3" s="2"/>
      <c r="D3" s="2"/>
      <c r="E3" s="2"/>
      <c r="F3" s="2"/>
      <c r="G3" s="2"/>
      <c r="H3" s="2"/>
      <c r="I3" s="2"/>
      <c r="J3" s="2"/>
    </row>
    <row r="4" ht="26" customHeight="1" spans="1:10" x14ac:dyDescent="0.25">
      <c r="A4" s="2" t="s">
        <v>34</v>
      </c>
      <c r="B4" s="2"/>
      <c r="C4" s="2"/>
      <c r="D4" s="2"/>
      <c r="E4" s="2"/>
      <c r="F4" s="2"/>
      <c r="G4" s="2"/>
      <c r="H4" s="2"/>
      <c r="I4" s="2"/>
      <c r="J4" s="2"/>
    </row>
    <row r="6" ht="32" customHeight="1" spans="1:10" s="5" customFormat="1" x14ac:dyDescent="0.25">
      <c r="A6" s="5" t="s">
        <v>35</v>
      </c>
      <c r="B6" s="5" t="s">
        <v>36</v>
      </c>
      <c r="C6" s="5" t="s">
        <v>37</v>
      </c>
      <c r="D6" s="5" t="s">
        <v>38</v>
      </c>
      <c r="E6" s="5" t="s">
        <v>39</v>
      </c>
      <c r="F6" s="5" t="s">
        <v>40</v>
      </c>
      <c r="G6" s="5" t="s">
        <v>41</v>
      </c>
      <c r="H6" s="5" t="s">
        <v>42</v>
      </c>
      <c r="I6" s="5" t="s">
        <v>43</v>
      </c>
      <c r="J6" s="5" t="s">
        <v>44</v>
      </c>
    </row>
    <row r="7" ht="34" customHeight="1" spans="1:10" s="6" customFormat="1" x14ac:dyDescent="0.25">
      <c r="A7" s="6" t="s">
        <v>45</v>
      </c>
      <c r="B7" s="6" t="s">
        <v>46</v>
      </c>
      <c r="C7" s="6" t="s">
        <v>47</v>
      </c>
      <c r="D7" s="6" t="s">
        <v>48</v>
      </c>
      <c r="E7" s="6" t="s">
        <v>49</v>
      </c>
      <c r="F7" s="6" t="s">
        <v>50</v>
      </c>
      <c r="G7" s="6" t="s">
        <v>51</v>
      </c>
      <c r="H7" s="6" t="s">
        <v>52</v>
      </c>
      <c r="I7" s="6" t="s">
        <v>53</v>
      </c>
      <c r="J7" s="6" t="s">
        <v>54</v>
      </c>
    </row>
    <row r="8" spans="1:10" x14ac:dyDescent="0.25">
      <c r="A8" s="7" t="s">
        <v>55</v>
      </c>
      <c r="B8" s="8"/>
      <c r="C8" s="9"/>
      <c r="D8" s="10"/>
      <c r="E8" s="11" t="s">
        <v>56</v>
      </c>
      <c r="F8" s="12" t="s">
        <v>57</v>
      </c>
      <c r="G8" s="10"/>
      <c r="H8" s="13" t="s">
        <v>2</v>
      </c>
      <c r="I8" s="14" t="str">
        <f>IF($C8="","",IF(NOT(ISNUMBER($C8)),"Type just the number",IF($B8="","Which unit do you buy it in?",IF(EXACT(LOWER($B8),LOWER($F8)),$C8,IF(IFERROR(VLOOKUP(LOWER($B8),Lists!$E:$G,2,FALSE),"?buy")=IFERROR(VLOOKUP(LOWER($F8),Lists!$E:$G,2,FALSE),"?rec"),IF($G8&lt;&gt;"","Leave Pack Size blank",$C8/(VLOOKUP(LOWER($B8),Lists!$E:$G,3,FALSE)/VLOOKUP(LOWER($F8),Lists!$E:$G,3,FALSE))),IF(AND(ISNUMBER($G8),$G8&gt;0),$C8/$G8,"How many "&amp;$F8&amp;" in one "&amp;$B8&amp;"?"))))))</f>
        <v/>
      </c>
      <c r="J8" s="15" t="str">
        <f>IF(NOT(ISNUMBER($C8)),"",IF(AND(OR(EXACT(LOWER($B8),"g"),EXACT(LOWER($B8),"ml")),$C8&gt;20),"That is ₱"&amp;TEXT($C8,"0.00")&amp;" for ONE "&amp;$B8&amp;". Did you mean one kilo, or one litre?",""))</f>
        <v/>
      </c>
    </row>
    <row r="9" spans="1:10" x14ac:dyDescent="0.25">
      <c r="A9" s="7" t="s">
        <v>58</v>
      </c>
      <c r="B9" s="8"/>
      <c r="C9" s="9"/>
      <c r="D9" s="10"/>
      <c r="E9" s="11" t="s">
        <v>59</v>
      </c>
      <c r="F9" s="12" t="s">
        <v>57</v>
      </c>
      <c r="G9" s="10"/>
      <c r="H9" s="13" t="s">
        <v>2</v>
      </c>
      <c r="I9" s="14" t="str">
        <f>IF($C9="","",IF(NOT(ISNUMBER($C9)),"Type just the number",IF($B9="","Which unit do you buy it in?",IF(EXACT(LOWER($B9),LOWER($F9)),$C9,IF(IFERROR(VLOOKUP(LOWER($B9),Lists!$E:$G,2,FALSE),"?buy")=IFERROR(VLOOKUP(LOWER($F9),Lists!$E:$G,2,FALSE),"?rec"),IF($G9&lt;&gt;"","Leave Pack Size blank",$C9/(VLOOKUP(LOWER($B9),Lists!$E:$G,3,FALSE)/VLOOKUP(LOWER($F9),Lists!$E:$G,3,FALSE))),IF(AND(ISNUMBER($G9),$G9&gt;0),$C9/$G9,"How many "&amp;$F9&amp;" in one "&amp;$B9&amp;"?"))))))</f>
        <v/>
      </c>
      <c r="J9" s="15" t="str">
        <f>IF(NOT(ISNUMBER($C9)),"",IF(AND(OR(EXACT(LOWER($B9),"g"),EXACT(LOWER($B9),"ml")),$C9&gt;20),"That is ₱"&amp;TEXT($C9,"0.00")&amp;" for ONE "&amp;$B9&amp;". Did you mean one kilo, or one litre?",""))</f>
        <v/>
      </c>
    </row>
    <row r="10" spans="1:10" x14ac:dyDescent="0.25">
      <c r="A10" s="7" t="s">
        <v>60</v>
      </c>
      <c r="B10" s="8"/>
      <c r="C10" s="9"/>
      <c r="D10" s="10"/>
      <c r="E10" s="11" t="s">
        <v>61</v>
      </c>
      <c r="F10" s="12" t="s">
        <v>57</v>
      </c>
      <c r="G10" s="10"/>
      <c r="H10" s="13" t="s">
        <v>2</v>
      </c>
      <c r="I10" s="14" t="str">
        <f>IF($C10="","",IF(NOT(ISNUMBER($C10)),"Type just the number",IF($B10="","Which unit do you buy it in?",IF(EXACT(LOWER($B10),LOWER($F10)),$C10,IF(IFERROR(VLOOKUP(LOWER($B10),Lists!$E:$G,2,FALSE),"?buy")=IFERROR(VLOOKUP(LOWER($F10),Lists!$E:$G,2,FALSE),"?rec"),IF($G10&lt;&gt;"","Leave Pack Size blank",$C10/(VLOOKUP(LOWER($B10),Lists!$E:$G,3,FALSE)/VLOOKUP(LOWER($F10),Lists!$E:$G,3,FALSE))),IF(AND(ISNUMBER($G10),$G10&gt;0),$C10/$G10,"How many "&amp;$F10&amp;" in one "&amp;$B10&amp;"?"))))))</f>
        <v/>
      </c>
      <c r="J10" s="15" t="str">
        <f>IF(NOT(ISNUMBER($C10)),"",IF(AND(OR(EXACT(LOWER($B10),"g"),EXACT(LOWER($B10),"ml")),$C10&gt;20),"That is ₱"&amp;TEXT($C10,"0.00")&amp;" for ONE "&amp;$B10&amp;". Did you mean one kilo, or one litre?",""))</f>
        <v/>
      </c>
    </row>
    <row r="11" spans="1:10" x14ac:dyDescent="0.25">
      <c r="A11" s="7" t="s">
        <v>62</v>
      </c>
      <c r="B11" s="8"/>
      <c r="C11" s="9"/>
      <c r="D11" s="10"/>
      <c r="E11" s="11" t="s">
        <v>56</v>
      </c>
      <c r="F11" s="12" t="s">
        <v>57</v>
      </c>
      <c r="G11" s="10"/>
      <c r="H11" s="13" t="s">
        <v>2</v>
      </c>
      <c r="I11" s="14" t="str">
        <f>IF($C11="","",IF(NOT(ISNUMBER($C11)),"Type just the number",IF($B11="","Which unit do you buy it in?",IF(EXACT(LOWER($B11),LOWER($F11)),$C11,IF(IFERROR(VLOOKUP(LOWER($B11),Lists!$E:$G,2,FALSE),"?buy")=IFERROR(VLOOKUP(LOWER($F11),Lists!$E:$G,2,FALSE),"?rec"),IF($G11&lt;&gt;"","Leave Pack Size blank",$C11/(VLOOKUP(LOWER($B11),Lists!$E:$G,3,FALSE)/VLOOKUP(LOWER($F11),Lists!$E:$G,3,FALSE))),IF(AND(ISNUMBER($G11),$G11&gt;0),$C11/$G11,"How many "&amp;$F11&amp;" in one "&amp;$B11&amp;"?"))))))</f>
        <v/>
      </c>
      <c r="J11" s="15" t="str">
        <f>IF(NOT(ISNUMBER($C11)),"",IF(AND(OR(EXACT(LOWER($B11),"g"),EXACT(LOWER($B11),"ml")),$C11&gt;20),"That is ₱"&amp;TEXT($C11,"0.00")&amp;" for ONE "&amp;$B11&amp;". Did you mean one kilo, or one litre?",""))</f>
        <v/>
      </c>
    </row>
    <row r="12" spans="1:10" x14ac:dyDescent="0.25">
      <c r="A12" s="7" t="s">
        <v>63</v>
      </c>
      <c r="B12" s="8"/>
      <c r="C12" s="9"/>
      <c r="D12" s="10"/>
      <c r="E12" s="11" t="s">
        <v>56</v>
      </c>
      <c r="F12" s="12" t="s">
        <v>57</v>
      </c>
      <c r="G12" s="10"/>
      <c r="H12" s="13" t="s">
        <v>2</v>
      </c>
      <c r="I12" s="14" t="str">
        <f>IF($C12="","",IF(NOT(ISNUMBER($C12)),"Type just the number",IF($B12="","Which unit do you buy it in?",IF(EXACT(LOWER($B12),LOWER($F12)),$C12,IF(IFERROR(VLOOKUP(LOWER($B12),Lists!$E:$G,2,FALSE),"?buy")=IFERROR(VLOOKUP(LOWER($F12),Lists!$E:$G,2,FALSE),"?rec"),IF($G12&lt;&gt;"","Leave Pack Size blank",$C12/(VLOOKUP(LOWER($B12),Lists!$E:$G,3,FALSE)/VLOOKUP(LOWER($F12),Lists!$E:$G,3,FALSE))),IF(AND(ISNUMBER($G12),$G12&gt;0),$C12/$G12,"How many "&amp;$F12&amp;" in one "&amp;$B12&amp;"?"))))))</f>
        <v/>
      </c>
      <c r="J12" s="15" t="str">
        <f>IF(NOT(ISNUMBER($C12)),"",IF(AND(OR(EXACT(LOWER($B12),"g"),EXACT(LOWER($B12),"ml")),$C12&gt;20),"That is ₱"&amp;TEXT($C12,"0.00")&amp;" for ONE "&amp;$B12&amp;". Did you mean one kilo, or one litre?",""))</f>
        <v/>
      </c>
    </row>
    <row r="13" spans="1:10" x14ac:dyDescent="0.25">
      <c r="A13" s="7" t="s">
        <v>64</v>
      </c>
      <c r="B13" s="8"/>
      <c r="C13" s="9"/>
      <c r="D13" s="10"/>
      <c r="E13" s="11" t="s">
        <v>65</v>
      </c>
      <c r="F13" s="12" t="s">
        <v>57</v>
      </c>
      <c r="G13" s="10"/>
      <c r="H13" s="13" t="s">
        <v>2</v>
      </c>
      <c r="I13" s="14" t="str">
        <f>IF($C13="","",IF(NOT(ISNUMBER($C13)),"Type just the number",IF($B13="","Which unit do you buy it in?",IF(EXACT(LOWER($B13),LOWER($F13)),$C13,IF(IFERROR(VLOOKUP(LOWER($B13),Lists!$E:$G,2,FALSE),"?buy")=IFERROR(VLOOKUP(LOWER($F13),Lists!$E:$G,2,FALSE),"?rec"),IF($G13&lt;&gt;"","Leave Pack Size blank",$C13/(VLOOKUP(LOWER($B13),Lists!$E:$G,3,FALSE)/VLOOKUP(LOWER($F13),Lists!$E:$G,3,FALSE))),IF(AND(ISNUMBER($G13),$G13&gt;0),$C13/$G13,"How many "&amp;$F13&amp;" in one "&amp;$B13&amp;"?"))))))</f>
        <v/>
      </c>
      <c r="J13" s="15" t="str">
        <f>IF(NOT(ISNUMBER($C13)),"",IF(AND(OR(EXACT(LOWER($B13),"g"),EXACT(LOWER($B13),"ml")),$C13&gt;20),"That is ₱"&amp;TEXT($C13,"0.00")&amp;" for ONE "&amp;$B13&amp;". Did you mean one kilo, or one litre?",""))</f>
        <v/>
      </c>
    </row>
    <row r="14" spans="1:10" x14ac:dyDescent="0.25">
      <c r="A14" s="7" t="s">
        <v>66</v>
      </c>
      <c r="B14" s="8"/>
      <c r="C14" s="9"/>
      <c r="D14" s="10"/>
      <c r="E14" s="11" t="s">
        <v>67</v>
      </c>
      <c r="F14" s="12" t="s">
        <v>57</v>
      </c>
      <c r="G14" s="10"/>
      <c r="H14" s="13" t="s">
        <v>2</v>
      </c>
      <c r="I14" s="14" t="str">
        <f>IF($C14="","",IF(NOT(ISNUMBER($C14)),"Type just the number",IF($B14="","Which unit do you buy it in?",IF(EXACT(LOWER($B14),LOWER($F14)),$C14,IF(IFERROR(VLOOKUP(LOWER($B14),Lists!$E:$G,2,FALSE),"?buy")=IFERROR(VLOOKUP(LOWER($F14),Lists!$E:$G,2,FALSE),"?rec"),IF($G14&lt;&gt;"","Leave Pack Size blank",$C14/(VLOOKUP(LOWER($B14),Lists!$E:$G,3,FALSE)/VLOOKUP(LOWER($F14),Lists!$E:$G,3,FALSE))),IF(AND(ISNUMBER($G14),$G14&gt;0),$C14/$G14,"How many "&amp;$F14&amp;" in one "&amp;$B14&amp;"?"))))))</f>
        <v/>
      </c>
      <c r="J14" s="15" t="str">
        <f>IF(NOT(ISNUMBER($C14)),"",IF(AND(OR(EXACT(LOWER($B14),"g"),EXACT(LOWER($B14),"ml")),$C14&gt;20),"That is ₱"&amp;TEXT($C14,"0.00")&amp;" for ONE "&amp;$B14&amp;". Did you mean one kilo, or one litre?",""))</f>
        <v/>
      </c>
    </row>
    <row r="15" spans="1:10" x14ac:dyDescent="0.25">
      <c r="A15" s="7" t="s">
        <v>68</v>
      </c>
      <c r="B15" s="8"/>
      <c r="C15" s="9"/>
      <c r="D15" s="10"/>
      <c r="E15" s="11" t="s">
        <v>69</v>
      </c>
      <c r="F15" s="12" t="s">
        <v>57</v>
      </c>
      <c r="G15" s="10"/>
      <c r="H15" s="13" t="s">
        <v>2</v>
      </c>
      <c r="I15" s="14" t="str">
        <f>IF($C15="","",IF(NOT(ISNUMBER($C15)),"Type just the number",IF($B15="","Which unit do you buy it in?",IF(EXACT(LOWER($B15),LOWER($F15)),$C15,IF(IFERROR(VLOOKUP(LOWER($B15),Lists!$E:$G,2,FALSE),"?buy")=IFERROR(VLOOKUP(LOWER($F15),Lists!$E:$G,2,FALSE),"?rec"),IF($G15&lt;&gt;"","Leave Pack Size blank",$C15/(VLOOKUP(LOWER($B15),Lists!$E:$G,3,FALSE)/VLOOKUP(LOWER($F15),Lists!$E:$G,3,FALSE))),IF(AND(ISNUMBER($G15),$G15&gt;0),$C15/$G15,"How many "&amp;$F15&amp;" in one "&amp;$B15&amp;"?"))))))</f>
        <v/>
      </c>
      <c r="J15" s="15" t="str">
        <f>IF(NOT(ISNUMBER($C15)),"",IF(AND(OR(EXACT(LOWER($B15),"g"),EXACT(LOWER($B15),"ml")),$C15&gt;20),"That is ₱"&amp;TEXT($C15,"0.00")&amp;" for ONE "&amp;$B15&amp;". Did you mean one kilo, or one litre?",""))</f>
        <v/>
      </c>
    </row>
    <row r="16" spans="1:10" x14ac:dyDescent="0.25">
      <c r="A16" s="7" t="s">
        <v>70</v>
      </c>
      <c r="B16" s="8"/>
      <c r="C16" s="9"/>
      <c r="D16" s="10"/>
      <c r="E16" s="11" t="s">
        <v>71</v>
      </c>
      <c r="F16" s="12" t="s">
        <v>57</v>
      </c>
      <c r="G16" s="10"/>
      <c r="H16" s="13" t="s">
        <v>2</v>
      </c>
      <c r="I16" s="14" t="str">
        <f>IF($C16="","",IF(NOT(ISNUMBER($C16)),"Type just the number",IF($B16="","Which unit do you buy it in?",IF(EXACT(LOWER($B16),LOWER($F16)),$C16,IF(IFERROR(VLOOKUP(LOWER($B16),Lists!$E:$G,2,FALSE),"?buy")=IFERROR(VLOOKUP(LOWER($F16),Lists!$E:$G,2,FALSE),"?rec"),IF($G16&lt;&gt;"","Leave Pack Size blank",$C16/(VLOOKUP(LOWER($B16),Lists!$E:$G,3,FALSE)/VLOOKUP(LOWER($F16),Lists!$E:$G,3,FALSE))),IF(AND(ISNUMBER($G16),$G16&gt;0),$C16/$G16,"How many "&amp;$F16&amp;" in one "&amp;$B16&amp;"?"))))))</f>
        <v/>
      </c>
      <c r="J16" s="15" t="str">
        <f>IF(NOT(ISNUMBER($C16)),"",IF(AND(OR(EXACT(LOWER($B16),"g"),EXACT(LOWER($B16),"ml")),$C16&gt;20),"That is ₱"&amp;TEXT($C16,"0.00")&amp;" for ONE "&amp;$B16&amp;". Did you mean one kilo, or one litre?",""))</f>
        <v/>
      </c>
    </row>
    <row r="17" spans="1:10" x14ac:dyDescent="0.25">
      <c r="A17" s="7" t="s">
        <v>72</v>
      </c>
      <c r="B17" s="8"/>
      <c r="C17" s="9"/>
      <c r="D17" s="10"/>
      <c r="E17" s="11" t="s">
        <v>73</v>
      </c>
      <c r="F17" s="12" t="s">
        <v>57</v>
      </c>
      <c r="G17" s="10"/>
      <c r="H17" s="13" t="s">
        <v>2</v>
      </c>
      <c r="I17" s="14" t="str">
        <f>IF($C17="","",IF(NOT(ISNUMBER($C17)),"Type just the number",IF($B17="","Which unit do you buy it in?",IF(EXACT(LOWER($B17),LOWER($F17)),$C17,IF(IFERROR(VLOOKUP(LOWER($B17),Lists!$E:$G,2,FALSE),"?buy")=IFERROR(VLOOKUP(LOWER($F17),Lists!$E:$G,2,FALSE),"?rec"),IF($G17&lt;&gt;"","Leave Pack Size blank",$C17/(VLOOKUP(LOWER($B17),Lists!$E:$G,3,FALSE)/VLOOKUP(LOWER($F17),Lists!$E:$G,3,FALSE))),IF(AND(ISNUMBER($G17),$G17&gt;0),$C17/$G17,"How many "&amp;$F17&amp;" in one "&amp;$B17&amp;"?"))))))</f>
        <v/>
      </c>
      <c r="J17" s="15" t="str">
        <f>IF(NOT(ISNUMBER($C17)),"",IF(AND(OR(EXACT(LOWER($B17),"g"),EXACT(LOWER($B17),"ml")),$C17&gt;20),"That is ₱"&amp;TEXT($C17,"0.00")&amp;" for ONE "&amp;$B17&amp;". Did you mean one kilo, or one litre?",""))</f>
        <v/>
      </c>
    </row>
    <row r="18" spans="1:10" x14ac:dyDescent="0.25">
      <c r="A18" s="7" t="s">
        <v>74</v>
      </c>
      <c r="B18" s="8"/>
      <c r="C18" s="9"/>
      <c r="D18" s="10"/>
      <c r="E18" s="11" t="s">
        <v>73</v>
      </c>
      <c r="F18" s="12" t="s">
        <v>57</v>
      </c>
      <c r="G18" s="10"/>
      <c r="H18" s="13" t="s">
        <v>2</v>
      </c>
      <c r="I18" s="14" t="str">
        <f>IF($C18="","",IF(NOT(ISNUMBER($C18)),"Type just the number",IF($B18="","Which unit do you buy it in?",IF(EXACT(LOWER($B18),LOWER($F18)),$C18,IF(IFERROR(VLOOKUP(LOWER($B18),Lists!$E:$G,2,FALSE),"?buy")=IFERROR(VLOOKUP(LOWER($F18),Lists!$E:$G,2,FALSE),"?rec"),IF($G18&lt;&gt;"","Leave Pack Size blank",$C18/(VLOOKUP(LOWER($B18),Lists!$E:$G,3,FALSE)/VLOOKUP(LOWER($F18),Lists!$E:$G,3,FALSE))),IF(AND(ISNUMBER($G18),$G18&gt;0),$C18/$G18,"How many "&amp;$F18&amp;" in one "&amp;$B18&amp;"?"))))))</f>
        <v/>
      </c>
      <c r="J18" s="15" t="str">
        <f>IF(NOT(ISNUMBER($C18)),"",IF(AND(OR(EXACT(LOWER($B18),"g"),EXACT(LOWER($B18),"ml")),$C18&gt;20),"That is ₱"&amp;TEXT($C18,"0.00")&amp;" for ONE "&amp;$B18&amp;". Did you mean one kilo, or one litre?",""))</f>
        <v/>
      </c>
    </row>
    <row r="19" spans="1:10" x14ac:dyDescent="0.25">
      <c r="A19" s="7" t="s">
        <v>75</v>
      </c>
      <c r="B19" s="8"/>
      <c r="C19" s="9"/>
      <c r="D19" s="10"/>
      <c r="E19" s="11" t="s">
        <v>61</v>
      </c>
      <c r="F19" s="12" t="s">
        <v>57</v>
      </c>
      <c r="G19" s="10"/>
      <c r="H19" s="13" t="s">
        <v>2</v>
      </c>
      <c r="I19" s="14" t="str">
        <f>IF($C19="","",IF(NOT(ISNUMBER($C19)),"Type just the number",IF($B19="","Which unit do you buy it in?",IF(EXACT(LOWER($B19),LOWER($F19)),$C19,IF(IFERROR(VLOOKUP(LOWER($B19),Lists!$E:$G,2,FALSE),"?buy")=IFERROR(VLOOKUP(LOWER($F19),Lists!$E:$G,2,FALSE),"?rec"),IF($G19&lt;&gt;"","Leave Pack Size blank",$C19/(VLOOKUP(LOWER($B19),Lists!$E:$G,3,FALSE)/VLOOKUP(LOWER($F19),Lists!$E:$G,3,FALSE))),IF(AND(ISNUMBER($G19),$G19&gt;0),$C19/$G19,"How many "&amp;$F19&amp;" in one "&amp;$B19&amp;"?"))))))</f>
        <v/>
      </c>
      <c r="J19" s="15" t="str">
        <f>IF(NOT(ISNUMBER($C19)),"",IF(AND(OR(EXACT(LOWER($B19),"g"),EXACT(LOWER($B19),"ml")),$C19&gt;20),"That is ₱"&amp;TEXT($C19,"0.00")&amp;" for ONE "&amp;$B19&amp;". Did you mean one kilo, or one litre?",""))</f>
        <v/>
      </c>
    </row>
    <row r="20" spans="1:10" x14ac:dyDescent="0.25">
      <c r="A20" s="7" t="s">
        <v>76</v>
      </c>
      <c r="B20" s="8"/>
      <c r="C20" s="9"/>
      <c r="D20" s="10"/>
      <c r="E20" s="16" t="s">
        <v>77</v>
      </c>
      <c r="F20" s="12" t="s">
        <v>57</v>
      </c>
      <c r="G20" s="10"/>
      <c r="H20" s="13" t="s">
        <v>2</v>
      </c>
      <c r="I20" s="14" t="str">
        <f>IF($C20="","",IF(NOT(ISNUMBER($C20)),"Type just the number",IF($B20="","Which unit do you buy it in?",IF(EXACT(LOWER($B20),LOWER($F20)),$C20,IF(IFERROR(VLOOKUP(LOWER($B20),Lists!$E:$G,2,FALSE),"?buy")=IFERROR(VLOOKUP(LOWER($F20),Lists!$E:$G,2,FALSE),"?rec"),IF($G20&lt;&gt;"","Leave Pack Size blank",$C20/(VLOOKUP(LOWER($B20),Lists!$E:$G,3,FALSE)/VLOOKUP(LOWER($F20),Lists!$E:$G,3,FALSE))),IF(AND(ISNUMBER($G20),$G20&gt;0),$C20/$G20,"How many "&amp;$F20&amp;" in one "&amp;$B20&amp;"?"))))))</f>
        <v/>
      </c>
      <c r="J20" s="15" t="str">
        <f>IF(NOT(ISNUMBER($C20)),"",IF(AND(OR(EXACT(LOWER($B20),"g"),EXACT(LOWER($B20),"ml")),$C20&gt;20),"That is ₱"&amp;TEXT($C20,"0.00")&amp;" for ONE "&amp;$B20&amp;". Did you mean one kilo, or one litre?",""))</f>
        <v/>
      </c>
    </row>
    <row r="21" spans="1:10" x14ac:dyDescent="0.25">
      <c r="A21" s="7" t="s">
        <v>78</v>
      </c>
      <c r="B21" s="8"/>
      <c r="C21" s="9"/>
      <c r="D21" s="10"/>
      <c r="E21" s="11" t="s">
        <v>79</v>
      </c>
      <c r="F21" s="12" t="s">
        <v>57</v>
      </c>
      <c r="G21" s="10"/>
      <c r="H21" s="13" t="s">
        <v>2</v>
      </c>
      <c r="I21" s="14" t="str">
        <f>IF($C21="","",IF(NOT(ISNUMBER($C21)),"Type just the number",IF($B21="","Which unit do you buy it in?",IF(EXACT(LOWER($B21),LOWER($F21)),$C21,IF(IFERROR(VLOOKUP(LOWER($B21),Lists!$E:$G,2,FALSE),"?buy")=IFERROR(VLOOKUP(LOWER($F21),Lists!$E:$G,2,FALSE),"?rec"),IF($G21&lt;&gt;"","Leave Pack Size blank",$C21/(VLOOKUP(LOWER($B21),Lists!$E:$G,3,FALSE)/VLOOKUP(LOWER($F21),Lists!$E:$G,3,FALSE))),IF(AND(ISNUMBER($G21),$G21&gt;0),$C21/$G21,"How many "&amp;$F21&amp;" in one "&amp;$B21&amp;"?"))))))</f>
        <v/>
      </c>
      <c r="J21" s="15" t="str">
        <f>IF(NOT(ISNUMBER($C21)),"",IF(AND(OR(EXACT(LOWER($B21),"g"),EXACT(LOWER($B21),"ml")),$C21&gt;20),"That is ₱"&amp;TEXT($C21,"0.00")&amp;" for ONE "&amp;$B21&amp;". Did you mean one kilo, or one litre?",""))</f>
        <v/>
      </c>
    </row>
    <row r="22" spans="1:10" x14ac:dyDescent="0.25">
      <c r="A22" s="7" t="s">
        <v>80</v>
      </c>
      <c r="B22" s="8"/>
      <c r="C22" s="9"/>
      <c r="D22" s="10"/>
      <c r="E22" s="11" t="s">
        <v>56</v>
      </c>
      <c r="F22" s="12" t="s">
        <v>57</v>
      </c>
      <c r="G22" s="10"/>
      <c r="H22" s="13" t="s">
        <v>2</v>
      </c>
      <c r="I22" s="14" t="str">
        <f>IF($C22="","",IF(NOT(ISNUMBER($C22)),"Type just the number",IF($B22="","Which unit do you buy it in?",IF(EXACT(LOWER($B22),LOWER($F22)),$C22,IF(IFERROR(VLOOKUP(LOWER($B22),Lists!$E:$G,2,FALSE),"?buy")=IFERROR(VLOOKUP(LOWER($F22),Lists!$E:$G,2,FALSE),"?rec"),IF($G22&lt;&gt;"","Leave Pack Size blank",$C22/(VLOOKUP(LOWER($B22),Lists!$E:$G,3,FALSE)/VLOOKUP(LOWER($F22),Lists!$E:$G,3,FALSE))),IF(AND(ISNUMBER($G22),$G22&gt;0),$C22/$G22,"How many "&amp;$F22&amp;" in one "&amp;$B22&amp;"?"))))))</f>
        <v/>
      </c>
      <c r="J22" s="15" t="str">
        <f>IF(NOT(ISNUMBER($C22)),"",IF(AND(OR(EXACT(LOWER($B22),"g"),EXACT(LOWER($B22),"ml")),$C22&gt;20),"That is ₱"&amp;TEXT($C22,"0.00")&amp;" for ONE "&amp;$B22&amp;". Did you mean one kilo, or one litre?",""))</f>
        <v/>
      </c>
    </row>
    <row r="23" spans="1:10" x14ac:dyDescent="0.25">
      <c r="A23" s="7" t="s">
        <v>81</v>
      </c>
      <c r="B23" s="8"/>
      <c r="C23" s="9"/>
      <c r="D23" s="10"/>
      <c r="E23" s="11" t="s">
        <v>65</v>
      </c>
      <c r="F23" s="12" t="s">
        <v>57</v>
      </c>
      <c r="G23" s="10"/>
      <c r="H23" s="13" t="s">
        <v>2</v>
      </c>
      <c r="I23" s="14" t="str">
        <f>IF($C23="","",IF(NOT(ISNUMBER($C23)),"Type just the number",IF($B23="","Which unit do you buy it in?",IF(EXACT(LOWER($B23),LOWER($F23)),$C23,IF(IFERROR(VLOOKUP(LOWER($B23),Lists!$E:$G,2,FALSE),"?buy")=IFERROR(VLOOKUP(LOWER($F23),Lists!$E:$G,2,FALSE),"?rec"),IF($G23&lt;&gt;"","Leave Pack Size blank",$C23/(VLOOKUP(LOWER($B23),Lists!$E:$G,3,FALSE)/VLOOKUP(LOWER($F23),Lists!$E:$G,3,FALSE))),IF(AND(ISNUMBER($G23),$G23&gt;0),$C23/$G23,"How many "&amp;$F23&amp;" in one "&amp;$B23&amp;"?"))))))</f>
        <v/>
      </c>
      <c r="J23" s="15" t="str">
        <f>IF(NOT(ISNUMBER($C23)),"",IF(AND(OR(EXACT(LOWER($B23),"g"),EXACT(LOWER($B23),"ml")),$C23&gt;20),"That is ₱"&amp;TEXT($C23,"0.00")&amp;" for ONE "&amp;$B23&amp;". Did you mean one kilo, or one litre?",""))</f>
        <v/>
      </c>
    </row>
    <row r="24" spans="1:10" x14ac:dyDescent="0.25">
      <c r="A24" s="7" t="s">
        <v>82</v>
      </c>
      <c r="B24" s="8"/>
      <c r="C24" s="9"/>
      <c r="D24" s="10"/>
      <c r="E24" s="11" t="s">
        <v>83</v>
      </c>
      <c r="F24" s="12" t="s">
        <v>57</v>
      </c>
      <c r="G24" s="10"/>
      <c r="H24" s="13" t="s">
        <v>2</v>
      </c>
      <c r="I24" s="14" t="str">
        <f>IF($C24="","",IF(NOT(ISNUMBER($C24)),"Type just the number",IF($B24="","Which unit do you buy it in?",IF(EXACT(LOWER($B24),LOWER($F24)),$C24,IF(IFERROR(VLOOKUP(LOWER($B24),Lists!$E:$G,2,FALSE),"?buy")=IFERROR(VLOOKUP(LOWER($F24),Lists!$E:$G,2,FALSE),"?rec"),IF($G24&lt;&gt;"","Leave Pack Size blank",$C24/(VLOOKUP(LOWER($B24),Lists!$E:$G,3,FALSE)/VLOOKUP(LOWER($F24),Lists!$E:$G,3,FALSE))),IF(AND(ISNUMBER($G24),$G24&gt;0),$C24/$G24,"How many "&amp;$F24&amp;" in one "&amp;$B24&amp;"?"))))))</f>
        <v/>
      </c>
      <c r="J24" s="15" t="str">
        <f>IF(NOT(ISNUMBER($C24)),"",IF(AND(OR(EXACT(LOWER($B24),"g"),EXACT(LOWER($B24),"ml")),$C24&gt;20),"That is ₱"&amp;TEXT($C24,"0.00")&amp;" for ONE "&amp;$B24&amp;". Did you mean one kilo, or one litre?",""))</f>
        <v/>
      </c>
    </row>
    <row r="25" spans="1:10" x14ac:dyDescent="0.25">
      <c r="A25" s="7" t="s">
        <v>84</v>
      </c>
      <c r="B25" s="8"/>
      <c r="C25" s="9"/>
      <c r="D25" s="10"/>
      <c r="E25" s="11" t="s">
        <v>85</v>
      </c>
      <c r="F25" s="12" t="s">
        <v>57</v>
      </c>
      <c r="G25" s="10"/>
      <c r="H25" s="13" t="s">
        <v>2</v>
      </c>
      <c r="I25" s="14" t="str">
        <f>IF($C25="","",IF(NOT(ISNUMBER($C25)),"Type just the number",IF($B25="","Which unit do you buy it in?",IF(EXACT(LOWER($B25),LOWER($F25)),$C25,IF(IFERROR(VLOOKUP(LOWER($B25),Lists!$E:$G,2,FALSE),"?buy")=IFERROR(VLOOKUP(LOWER($F25),Lists!$E:$G,2,FALSE),"?rec"),IF($G25&lt;&gt;"","Leave Pack Size blank",$C25/(VLOOKUP(LOWER($B25),Lists!$E:$G,3,FALSE)/VLOOKUP(LOWER($F25),Lists!$E:$G,3,FALSE))),IF(AND(ISNUMBER($G25),$G25&gt;0),$C25/$G25,"How many "&amp;$F25&amp;" in one "&amp;$B25&amp;"?"))))))</f>
        <v/>
      </c>
      <c r="J25" s="15" t="str">
        <f>IF(NOT(ISNUMBER($C25)),"",IF(AND(OR(EXACT(LOWER($B25),"g"),EXACT(LOWER($B25),"ml")),$C25&gt;20),"That is ₱"&amp;TEXT($C25,"0.00")&amp;" for ONE "&amp;$B25&amp;". Did you mean one kilo, or one litre?",""))</f>
        <v/>
      </c>
    </row>
  </sheetData>
  <sheetProtection sheet="1" formatCells="0" formatColumns="0" formatRows="0" insertRows="0" sort="0" autoFilter="0"/>
  <mergeCells count="4">
    <mergeCell ref="A1:J1"/>
    <mergeCell ref="A2:J2"/>
    <mergeCell ref="A3:J3"/>
    <mergeCell ref="A4:J4"/>
  </mergeCells>
  <dataValidations count="2">
    <dataValidation type="list" allowBlank="1" showErrorMessage="1" errorStyle="warning" errorTitle="Not on the list" error="Pick a name from the dropdown so it matches what Clerque already has. A typed name that differs by one letter becomes a second ingredient." sqref="B10:B25">
      <formula1>"g,kg,pc,pack,bottle,can,box,sachet,tray"</formula1>
    </dataValidation>
    <dataValidation type="list" allowBlank="1" showErrorMessage="1" errorStyle="warning" errorTitle="Not on the list" error="Pick a name from the dropdown so it matches what Clerque already has. A typed name that differs by one letter becomes a second ingredient." sqref="B8:B25">
      <formula1>"g,kg,pc,pack,bottle,can,box,sachet,tray"</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3"/>
  <sheetFormatPr defaultRowHeight="15" outlineLevelRow="0" outlineLevelCol="0" x14ac:dyDescent="55"/>
  <cols>
    <col min="1" max="1" width="34" customWidth="1"/>
    <col min="2" max="2" width="8" customWidth="1"/>
    <col min="3" max="3" width="22" customWidth="1"/>
    <col min="4" max="4" width="18" customWidth="1"/>
    <col min="5" max="5" width="16" customWidth="1"/>
  </cols>
  <sheetData>
    <row r="1" ht="24" customHeight="1" spans="1:5" x14ac:dyDescent="0.25">
      <c r="A1" s="1" t="s">
        <v>86</v>
      </c>
      <c r="B1" s="1"/>
      <c r="C1" s="1"/>
      <c r="D1" s="1"/>
      <c r="E1" s="1"/>
    </row>
    <row r="2" ht="34" customHeight="1" spans="1:5" x14ac:dyDescent="0.25">
      <c r="A2" s="2" t="s">
        <v>87</v>
      </c>
      <c r="B2" s="2"/>
      <c r="C2" s="2"/>
      <c r="D2" s="2"/>
      <c r="E2" s="2"/>
    </row>
    <row r="3" ht="20" customHeight="1" spans="1:5" x14ac:dyDescent="0.25">
      <c r="A3" s="2" t="s">
        <v>88</v>
      </c>
      <c r="B3" s="2"/>
      <c r="C3" s="2"/>
      <c r="D3" s="2"/>
      <c r="E3" s="2"/>
    </row>
    <row r="5" ht="22" customHeight="1" spans="1:5" x14ac:dyDescent="0.25">
      <c r="A5" s="17" t="s">
        <v>89</v>
      </c>
      <c r="B5" s="18"/>
      <c r="C5" s="18"/>
      <c r="D5" s="18"/>
      <c r="E5" s="18"/>
    </row>
    <row r="6" ht="18" customHeight="1" spans="1:5" x14ac:dyDescent="0.25">
      <c r="A6" s="19" t="s">
        <v>90</v>
      </c>
    </row>
    <row r="7" ht="32" customHeight="1" spans="1:5" s="5" customFormat="1" x14ac:dyDescent="0.25">
      <c r="A7" s="5" t="s">
        <v>91</v>
      </c>
      <c r="B7" s="5" t="s">
        <v>92</v>
      </c>
      <c r="C7" s="5" t="s">
        <v>93</v>
      </c>
      <c r="D7" s="5" t="s">
        <v>94</v>
      </c>
      <c r="E7" s="5" t="s">
        <v>95</v>
      </c>
    </row>
    <row r="8" spans="1:5" x14ac:dyDescent="0.25">
      <c r="A8" s="13" t="s">
        <v>82</v>
      </c>
      <c r="B8" s="20" t="str">
        <f>IF($A8="","",IFERROR(VLOOKUP($A8,Lists!$A:$C,3,FALSE),"NOT ON THE LIST"))</f>
        <v>g</v>
      </c>
      <c r="C8" s="21">
        <v>600</v>
      </c>
      <c r="D8" s="10"/>
      <c r="E8" s="22" t="str">
        <f>IF(OR($A8="",NOT(ISNUMBER($D8))),"",IFERROR($D8*VLOOKUP($A8,Lists!$A:$B,2,FALSE),""))</f>
        <v/>
      </c>
    </row>
    <row r="9" spans="1:5" x14ac:dyDescent="0.25">
      <c r="A9" s="13" t="s">
        <v>96</v>
      </c>
      <c r="B9" s="20" t="str">
        <f>IF($A9="","",IFERROR(VLOOKUP($A9,Lists!$A:$C,3,FALSE),"NOT ON THE LIST"))</f>
        <v>g</v>
      </c>
      <c r="C9" s="21">
        <v>760</v>
      </c>
      <c r="D9" s="10"/>
      <c r="E9" s="22" t="str">
        <f>IF(OR($A9="",NOT(ISNUMBER($D9))),"",IFERROR($D9*VLOOKUP($A9,Lists!$A:$B,2,FALSE),""))</f>
        <v/>
      </c>
    </row>
    <row r="10" spans="1:5" x14ac:dyDescent="0.25">
      <c r="A10" s="13" t="s">
        <v>68</v>
      </c>
      <c r="B10" s="20" t="str">
        <f>IF($A10="","",IFERROR(VLOOKUP($A10,Lists!$A:$C,3,FALSE),"NOT ON THE LIST"))</f>
        <v>g</v>
      </c>
      <c r="C10" s="21">
        <v>8</v>
      </c>
      <c r="D10" s="10"/>
      <c r="E10" s="22" t="str">
        <f>IF(OR($A10="",NOT(ISNUMBER($D10))),"",IFERROR($D10*VLOOKUP($A10,Lists!$A:$B,2,FALSE),""))</f>
        <v/>
      </c>
    </row>
    <row r="11" spans="1:5" x14ac:dyDescent="0.25">
      <c r="A11" s="13" t="s">
        <v>66</v>
      </c>
      <c r="B11" s="20" t="str">
        <f>IF($A11="","",IFERROR(VLOOKUP($A11,Lists!$A:$C,3,FALSE),"NOT ON THE LIST"))</f>
        <v>g</v>
      </c>
      <c r="C11" s="21">
        <v>10</v>
      </c>
      <c r="D11" s="10"/>
      <c r="E11" s="22" t="str">
        <f>IF(OR($A11="",NOT(ISNUMBER($D11))),"",IFERROR($D11*VLOOKUP($A11,Lists!$A:$B,2,FALSE),""))</f>
        <v/>
      </c>
    </row>
    <row r="12" spans="1:5" x14ac:dyDescent="0.25">
      <c r="A12" s="13" t="s">
        <v>97</v>
      </c>
      <c r="B12" s="20" t="str">
        <f>IF($A12="","",IFERROR(VLOOKUP($A12,Lists!$A:$C,3,FALSE),"NOT ON THE LIST"))</f>
        <v>g</v>
      </c>
      <c r="C12" s="21">
        <v>80</v>
      </c>
      <c r="D12" s="10"/>
      <c r="E12" s="22" t="str">
        <f>IF(OR($A12="",NOT(ISNUMBER($D12))),"",IFERROR($D12*VLOOKUP($A12,Lists!$A:$B,2,FALSE),""))</f>
        <v/>
      </c>
    </row>
    <row r="13" spans="1:5" x14ac:dyDescent="0.25">
      <c r="A13" s="13" t="s">
        <v>98</v>
      </c>
      <c r="B13" s="20" t="str">
        <f>IF($A13="","",IFERROR(VLOOKUP($A13,Lists!$A:$C,3,FALSE),"NOT ON THE LIST"))</f>
        <v>ml</v>
      </c>
      <c r="C13" s="21">
        <v>400</v>
      </c>
      <c r="D13" s="10"/>
      <c r="E13" s="22" t="str">
        <f>IF(OR($A13="",NOT(ISNUMBER($D13))),"",IFERROR($D13*VLOOKUP($A13,Lists!$A:$B,2,FALSE),""))</f>
        <v/>
      </c>
    </row>
    <row r="14" spans="1:5" x14ac:dyDescent="0.25">
      <c r="A14" s="8"/>
      <c r="B14" s="20" t="str">
        <f>IF($A14="","",IFERROR(VLOOKUP($A14,Lists!$A:$C,3,FALSE),"NOT ON THE LIST"))</f>
        <v/>
      </c>
      <c r="C14" s="13" t="s">
        <v>2</v>
      </c>
      <c r="D14" s="10"/>
      <c r="E14" s="22" t="str">
        <f>IF(OR($A14="",NOT(ISNUMBER($D14))),"",IFERROR($D14*VLOOKUP($A14,Lists!$A:$B,2,FALSE),""))</f>
        <v/>
      </c>
    </row>
    <row r="15" spans="1:5" x14ac:dyDescent="0.25">
      <c r="A15" s="8"/>
      <c r="B15" s="20" t="str">
        <f>IF($A15="","",IFERROR(VLOOKUP($A15,Lists!$A:$C,3,FALSE),"NOT ON THE LIST"))</f>
        <v/>
      </c>
      <c r="C15" s="13" t="s">
        <v>2</v>
      </c>
      <c r="D15" s="10"/>
      <c r="E15" s="22" t="str">
        <f>IF(OR($A15="",NOT(ISNUMBER($D15))),"",IFERROR($D15*VLOOKUP($A15,Lists!$A:$B,2,FALSE),""))</f>
        <v/>
      </c>
    </row>
    <row r="16" spans="1:5" x14ac:dyDescent="0.25">
      <c r="A16" s="8"/>
      <c r="B16" s="20" t="str">
        <f>IF($A16="","",IFERROR(VLOOKUP($A16,Lists!$A:$C,3,FALSE),"NOT ON THE LIST"))</f>
        <v/>
      </c>
      <c r="C16" s="13" t="s">
        <v>2</v>
      </c>
      <c r="D16" s="10"/>
      <c r="E16" s="22" t="str">
        <f>IF(OR($A16="",NOT(ISNUMBER($D16))),"",IFERROR($D16*VLOOKUP($A16,Lists!$A:$B,2,FALSE),""))</f>
        <v/>
      </c>
    </row>
    <row r="17" spans="1:5" x14ac:dyDescent="0.25">
      <c r="A17" s="8"/>
      <c r="B17" s="20" t="str">
        <f>IF($A17="","",IFERROR(VLOOKUP($A17,Lists!$A:$C,3,FALSE),"NOT ON THE LIST"))</f>
        <v/>
      </c>
      <c r="C17" s="13" t="s">
        <v>2</v>
      </c>
      <c r="D17" s="10"/>
      <c r="E17" s="22" t="str">
        <f>IF(OR($A17="",NOT(ISNUMBER($D17))),"",IFERROR($D17*VLOOKUP($A17,Lists!$A:$B,2,FALSE),""))</f>
        <v/>
      </c>
    </row>
    <row r="18" spans="1:5" x14ac:dyDescent="0.25">
      <c r="A18" s="8"/>
      <c r="B18" s="20" t="str">
        <f>IF($A18="","",IFERROR(VLOOKUP($A18,Lists!$A:$C,3,FALSE),"NOT ON THE LIST"))</f>
        <v/>
      </c>
      <c r="C18" s="13" t="s">
        <v>2</v>
      </c>
      <c r="D18" s="10"/>
      <c r="E18" s="22" t="str">
        <f>IF(OR($A18="",NOT(ISNUMBER($D18))),"",IFERROR($D18*VLOOKUP($A18,Lists!$A:$B,2,FALSE),""))</f>
        <v/>
      </c>
    </row>
    <row r="19" spans="1:5" x14ac:dyDescent="0.25">
      <c r="A19" s="8"/>
      <c r="B19" s="20" t="str">
        <f>IF($A19="","",IFERROR(VLOOKUP($A19,Lists!$A:$C,3,FALSE),"NOT ON THE LIST"))</f>
        <v/>
      </c>
      <c r="C19" s="13" t="s">
        <v>2</v>
      </c>
      <c r="D19" s="10"/>
      <c r="E19" s="22" t="str">
        <f>IF(OR($A19="",NOT(ISNUMBER($D19))),"",IFERROR($D19*VLOOKUP($A19,Lists!$A:$B,2,FALSE),""))</f>
        <v/>
      </c>
    </row>
    <row r="20" spans="1:5" x14ac:dyDescent="0.25">
      <c r="A20" s="23" t="s">
        <v>99</v>
      </c>
      <c r="B20" s="24" t="s">
        <v>2</v>
      </c>
      <c r="C20" s="24" t="s">
        <v>2</v>
      </c>
      <c r="D20" s="24" t="s">
        <v>2</v>
      </c>
      <c r="E20" s="25">
        <f>SUM($E$8:$E$19)</f>
        <v>0</v>
      </c>
    </row>
    <row r="21" spans="1:5" x14ac:dyDescent="0.25">
      <c r="A21" s="7" t="s">
        <v>100</v>
      </c>
      <c r="B21" s="12" t="s">
        <v>101</v>
      </c>
      <c r="C21" s="13" t="s">
        <v>2</v>
      </c>
      <c r="D21" s="10"/>
      <c r="E21" s="13" t="s">
        <v>2</v>
      </c>
    </row>
    <row r="22" spans="1:5" x14ac:dyDescent="0.25">
      <c r="A22" s="23" t="s">
        <v>102</v>
      </c>
      <c r="B22" s="24" t="s">
        <v>2</v>
      </c>
      <c r="C22" s="24" t="s">
        <v>2</v>
      </c>
      <c r="D22" s="24" t="s">
        <v>2</v>
      </c>
      <c r="E22" s="26" t="str">
        <f>IF(OR(NOT(ISNUMBER($D$21)),$D$21&lt;=0),"",$E$20/$D$21)</f>
        <v/>
      </c>
    </row>
    <row r="24" ht="22" customHeight="1" spans="1:5" x14ac:dyDescent="0.25">
      <c r="A24" s="17" t="s">
        <v>103</v>
      </c>
      <c r="B24" s="18"/>
      <c r="C24" s="18"/>
      <c r="D24" s="18"/>
      <c r="E24" s="18"/>
    </row>
    <row r="25" ht="18" customHeight="1" spans="1:5" x14ac:dyDescent="0.25">
      <c r="A25" s="19" t="s">
        <v>104</v>
      </c>
    </row>
    <row r="26" ht="32" customHeight="1" spans="1:5" s="5" customFormat="1" x14ac:dyDescent="0.25">
      <c r="A26" s="5" t="s">
        <v>91</v>
      </c>
      <c r="B26" s="5" t="s">
        <v>92</v>
      </c>
      <c r="C26" s="5" t="s">
        <v>105</v>
      </c>
      <c r="D26" s="5" t="s">
        <v>94</v>
      </c>
      <c r="E26" s="5" t="s">
        <v>95</v>
      </c>
    </row>
    <row r="27" spans="1:5" x14ac:dyDescent="0.25">
      <c r="A27" s="13" t="s">
        <v>58</v>
      </c>
      <c r="B27" s="20" t="str">
        <f>IF($A27="","",IFERROR(VLOOKUP($A27,Lists!$A:$C,3,FALSE),"NOT ON THE LIST"))</f>
        <v>g</v>
      </c>
      <c r="C27" s="21">
        <v>0.7</v>
      </c>
      <c r="D27" s="10"/>
      <c r="E27" s="22" t="str">
        <f>IF(OR($A27="",NOT(ISNUMBER($D27))),"",IFERROR($D27*VLOOKUP($A27,Lists!$A:$B,2,FALSE),""))</f>
        <v/>
      </c>
    </row>
    <row r="28" spans="1:5" x14ac:dyDescent="0.25">
      <c r="A28" s="13" t="s">
        <v>60</v>
      </c>
      <c r="B28" s="20" t="str">
        <f>IF($A28="","",IFERROR(VLOOKUP($A28,Lists!$A:$C,3,FALSE),"NOT ON THE LIST"))</f>
        <v>g</v>
      </c>
      <c r="C28" s="21">
        <v>1</v>
      </c>
      <c r="D28" s="10"/>
      <c r="E28" s="22" t="str">
        <f>IF(OR($A28="",NOT(ISNUMBER($D28))),"",IFERROR($D28*VLOOKUP($A28,Lists!$A:$B,2,FALSE),""))</f>
        <v/>
      </c>
    </row>
    <row r="29" spans="1:5" x14ac:dyDescent="0.25">
      <c r="A29" s="13" t="s">
        <v>106</v>
      </c>
      <c r="B29" s="20" t="str">
        <f>IF($A29="","",IFERROR(VLOOKUP($A29,Lists!$A:$C,3,FALSE),"NOT ON THE LIST"))</f>
        <v>g</v>
      </c>
      <c r="C29" s="21">
        <v>1</v>
      </c>
      <c r="D29" s="10"/>
      <c r="E29" s="22" t="str">
        <f>IF(OR($A29="",NOT(ISNUMBER($D29))),"",IFERROR($D29*VLOOKUP($A29,Lists!$A:$B,2,FALSE),""))</f>
        <v/>
      </c>
    </row>
    <row r="30" spans="1:5" x14ac:dyDescent="0.25">
      <c r="A30" s="13" t="s">
        <v>64</v>
      </c>
      <c r="B30" s="20" t="str">
        <f>IF($A30="","",IFERROR(VLOOKUP($A30,Lists!$A:$C,3,FALSE),"NOT ON THE LIST"))</f>
        <v>g</v>
      </c>
      <c r="C30" s="21">
        <v>20</v>
      </c>
      <c r="D30" s="10"/>
      <c r="E30" s="22" t="str">
        <f>IF(OR($A30="",NOT(ISNUMBER($D30))),"",IFERROR($D30*VLOOKUP($A30,Lists!$A:$B,2,FALSE),""))</f>
        <v/>
      </c>
    </row>
    <row r="31" spans="1:5" x14ac:dyDescent="0.25">
      <c r="A31" s="13" t="s">
        <v>107</v>
      </c>
      <c r="B31" s="20" t="str">
        <f>IF($A31="","",IFERROR(VLOOKUP($A31,Lists!$A:$C,3,FALSE),"NOT ON THE LIST"))</f>
        <v>g</v>
      </c>
      <c r="C31" s="21">
        <v>1</v>
      </c>
      <c r="D31" s="10"/>
      <c r="E31" s="22" t="str">
        <f>IF(OR($A31="",NOT(ISNUMBER($D31))),"",IFERROR($D31*VLOOKUP($A31,Lists!$A:$B,2,FALSE),""))</f>
        <v/>
      </c>
    </row>
    <row r="32" spans="1:5" x14ac:dyDescent="0.25">
      <c r="A32" s="13" t="s">
        <v>75</v>
      </c>
      <c r="B32" s="20" t="str">
        <f>IF($A32="","",IFERROR(VLOOKUP($A32,Lists!$A:$C,3,FALSE),"NOT ON THE LIST"))</f>
        <v>g</v>
      </c>
      <c r="C32" s="21">
        <v>1</v>
      </c>
      <c r="D32" s="10"/>
      <c r="E32" s="22" t="str">
        <f>IF(OR($A32="",NOT(ISNUMBER($D32))),"",IFERROR($D32*VLOOKUP($A32,Lists!$A:$B,2,FALSE),""))</f>
        <v/>
      </c>
    </row>
    <row r="33" spans="1:5" x14ac:dyDescent="0.25">
      <c r="A33" s="13" t="s">
        <v>81</v>
      </c>
      <c r="B33" s="20" t="str">
        <f>IF($A33="","",IFERROR(VLOOKUP($A33,Lists!$A:$C,3,FALSE),"NOT ON THE LIST"))</f>
        <v>g</v>
      </c>
      <c r="C33" s="21">
        <v>0.8</v>
      </c>
      <c r="D33" s="10"/>
      <c r="E33" s="22" t="str">
        <f>IF(OR($A33="",NOT(ISNUMBER($D33))),"",IFERROR($D33*VLOOKUP($A33,Lists!$A:$B,2,FALSE),""))</f>
        <v/>
      </c>
    </row>
    <row r="34" spans="1:5" x14ac:dyDescent="0.25">
      <c r="A34" s="13" t="s">
        <v>108</v>
      </c>
      <c r="B34" s="20" t="str">
        <f>IF($A34="","",IFERROR(VLOOKUP($A34,Lists!$A:$C,3,FALSE),"NOT ON THE LIST"))</f>
        <v>g</v>
      </c>
      <c r="C34" s="21">
        <v>5</v>
      </c>
      <c r="D34" s="10"/>
      <c r="E34" s="22" t="str">
        <f>IF(OR($A34="",NOT(ISNUMBER($D34))),"",IFERROR($D34*VLOOKUP($A34,Lists!$A:$B,2,FALSE),""))</f>
        <v/>
      </c>
    </row>
    <row r="35" spans="1:5" x14ac:dyDescent="0.25">
      <c r="A35" s="13" t="s">
        <v>84</v>
      </c>
      <c r="B35" s="20" t="str">
        <f>IF($A35="","",IFERROR(VLOOKUP($A35,Lists!$A:$C,3,FALSE),"NOT ON THE LIST"))</f>
        <v>g</v>
      </c>
      <c r="C35" s="21">
        <v>15</v>
      </c>
      <c r="D35" s="10"/>
      <c r="E35" s="22" t="str">
        <f>IF(OR($A35="",NOT(ISNUMBER($D35))),"",IFERROR($D35*VLOOKUP($A35,Lists!$A:$B,2,FALSE),""))</f>
        <v/>
      </c>
    </row>
    <row r="36" spans="1:5" x14ac:dyDescent="0.25">
      <c r="A36" s="13" t="s">
        <v>96</v>
      </c>
      <c r="B36" s="20" t="str">
        <f>IF($A36="","",IFERROR(VLOOKUP($A36,Lists!$A:$C,3,FALSE),"NOT ON THE LIST"))</f>
        <v>g</v>
      </c>
      <c r="C36" s="21">
        <v>5</v>
      </c>
      <c r="D36" s="10"/>
      <c r="E36" s="22" t="str">
        <f>IF(OR($A36="",NOT(ISNUMBER($D36))),"",IFERROR($D36*VLOOKUP($A36,Lists!$A:$B,2,FALSE),""))</f>
        <v/>
      </c>
    </row>
    <row r="37" spans="1:5" x14ac:dyDescent="0.25">
      <c r="A37" s="8"/>
      <c r="B37" s="20" t="str">
        <f>IF($A37="","",IFERROR(VLOOKUP($A37,Lists!$A:$C,3,FALSE),"NOT ON THE LIST"))</f>
        <v/>
      </c>
      <c r="C37" s="13" t="s">
        <v>2</v>
      </c>
      <c r="D37" s="10"/>
      <c r="E37" s="22" t="str">
        <f>IF(OR($A37="",NOT(ISNUMBER($D37))),"",IFERROR($D37*VLOOKUP($A37,Lists!$A:$B,2,FALSE),""))</f>
        <v/>
      </c>
    </row>
    <row r="38" spans="1:5" x14ac:dyDescent="0.25">
      <c r="A38" s="8"/>
      <c r="B38" s="20" t="str">
        <f>IF($A38="","",IFERROR(VLOOKUP($A38,Lists!$A:$C,3,FALSE),"NOT ON THE LIST"))</f>
        <v/>
      </c>
      <c r="C38" s="13" t="s">
        <v>2</v>
      </c>
      <c r="D38" s="10"/>
      <c r="E38" s="22" t="str">
        <f>IF(OR($A38="",NOT(ISNUMBER($D38))),"",IFERROR($D38*VLOOKUP($A38,Lists!$A:$B,2,FALSE),""))</f>
        <v/>
      </c>
    </row>
    <row r="39" spans="1:5" x14ac:dyDescent="0.25">
      <c r="A39" s="8"/>
      <c r="B39" s="20" t="str">
        <f>IF($A39="","",IFERROR(VLOOKUP($A39,Lists!$A:$C,3,FALSE),"NOT ON THE LIST"))</f>
        <v/>
      </c>
      <c r="C39" s="13" t="s">
        <v>2</v>
      </c>
      <c r="D39" s="10"/>
      <c r="E39" s="22" t="str">
        <f>IF(OR($A39="",NOT(ISNUMBER($D39))),"",IFERROR($D39*VLOOKUP($A39,Lists!$A:$B,2,FALSE),""))</f>
        <v/>
      </c>
    </row>
    <row r="40" spans="1:5" x14ac:dyDescent="0.25">
      <c r="A40" s="8"/>
      <c r="B40" s="20" t="str">
        <f>IF($A40="","",IFERROR(VLOOKUP($A40,Lists!$A:$C,3,FALSE),"NOT ON THE LIST"))</f>
        <v/>
      </c>
      <c r="C40" s="13" t="s">
        <v>2</v>
      </c>
      <c r="D40" s="10"/>
      <c r="E40" s="22" t="str">
        <f>IF(OR($A40="",NOT(ISNUMBER($D40))),"",IFERROR($D40*VLOOKUP($A40,Lists!$A:$B,2,FALSE),""))</f>
        <v/>
      </c>
    </row>
    <row r="41" spans="1:5" x14ac:dyDescent="0.25">
      <c r="A41" s="8"/>
      <c r="B41" s="20" t="str">
        <f>IF($A41="","",IFERROR(VLOOKUP($A41,Lists!$A:$C,3,FALSE),"NOT ON THE LIST"))</f>
        <v/>
      </c>
      <c r="C41" s="13" t="s">
        <v>2</v>
      </c>
      <c r="D41" s="10"/>
      <c r="E41" s="22" t="str">
        <f>IF(OR($A41="",NOT(ISNUMBER($D41))),"",IFERROR($D41*VLOOKUP($A41,Lists!$A:$B,2,FALSE),""))</f>
        <v/>
      </c>
    </row>
    <row r="42" spans="1:5" x14ac:dyDescent="0.25">
      <c r="A42" s="8"/>
      <c r="B42" s="20" t="str">
        <f>IF($A42="","",IFERROR(VLOOKUP($A42,Lists!$A:$C,3,FALSE),"NOT ON THE LIST"))</f>
        <v/>
      </c>
      <c r="C42" s="13" t="s">
        <v>2</v>
      </c>
      <c r="D42" s="10"/>
      <c r="E42" s="22" t="str">
        <f>IF(OR($A42="",NOT(ISNUMBER($D42))),"",IFERROR($D42*VLOOKUP($A42,Lists!$A:$B,2,FALSE),""))</f>
        <v/>
      </c>
    </row>
    <row r="43" spans="1:5" x14ac:dyDescent="0.25">
      <c r="A43" s="23" t="s">
        <v>99</v>
      </c>
      <c r="B43" s="24" t="s">
        <v>2</v>
      </c>
      <c r="C43" s="24" t="s">
        <v>2</v>
      </c>
      <c r="D43" s="24" t="s">
        <v>2</v>
      </c>
      <c r="E43" s="25">
        <f>SUM($E$27:$E$42)</f>
        <v>0</v>
      </c>
    </row>
    <row r="44" spans="1:5" x14ac:dyDescent="0.25">
      <c r="A44" s="7" t="s">
        <v>100</v>
      </c>
      <c r="B44" s="8"/>
      <c r="C44" s="13" t="s">
        <v>2</v>
      </c>
      <c r="D44" s="10"/>
      <c r="E44" s="13" t="s">
        <v>2</v>
      </c>
    </row>
    <row r="45" spans="1:5" x14ac:dyDescent="0.25">
      <c r="A45" s="23" t="s">
        <v>102</v>
      </c>
      <c r="B45" s="24" t="s">
        <v>2</v>
      </c>
      <c r="C45" s="24" t="s">
        <v>2</v>
      </c>
      <c r="D45" s="24" t="s">
        <v>2</v>
      </c>
      <c r="E45" s="26" t="str">
        <f>IF(OR(NOT(ISNUMBER($D$44)),$D$44&lt;=0),"",$E$43/$D$44)</f>
        <v/>
      </c>
    </row>
    <row r="47" ht="22" customHeight="1" spans="1:5" x14ac:dyDescent="0.25">
      <c r="A47" s="17" t="s">
        <v>109</v>
      </c>
      <c r="B47" s="18"/>
      <c r="C47" s="18"/>
      <c r="D47" s="18"/>
      <c r="E47" s="18"/>
    </row>
    <row r="48" ht="18" customHeight="1" spans="1:5" x14ac:dyDescent="0.25">
      <c r="A48" s="19" t="s">
        <v>104</v>
      </c>
    </row>
    <row r="49" ht="32" customHeight="1" spans="1:5" s="5" customFormat="1" x14ac:dyDescent="0.25">
      <c r="A49" s="5" t="s">
        <v>91</v>
      </c>
      <c r="B49" s="5" t="s">
        <v>92</v>
      </c>
      <c r="C49" s="5" t="s">
        <v>105</v>
      </c>
      <c r="D49" s="5" t="s">
        <v>94</v>
      </c>
      <c r="E49" s="5" t="s">
        <v>95</v>
      </c>
    </row>
    <row r="50" spans="1:5" x14ac:dyDescent="0.25">
      <c r="A50" s="13" t="s">
        <v>58</v>
      </c>
      <c r="B50" s="20" t="str">
        <f>IF($A50="","",IFERROR(VLOOKUP($A50,Lists!$A:$C,3,FALSE),"NOT ON THE LIST"))</f>
        <v>g</v>
      </c>
      <c r="C50" s="21">
        <v>2.4</v>
      </c>
      <c r="D50" s="10"/>
      <c r="E50" s="22" t="str">
        <f>IF(OR($A50="",NOT(ISNUMBER($D50))),"",IFERROR($D50*VLOOKUP($A50,Lists!$A:$B,2,FALSE),""))</f>
        <v/>
      </c>
    </row>
    <row r="51" spans="1:5" x14ac:dyDescent="0.25">
      <c r="A51" s="13" t="s">
        <v>110</v>
      </c>
      <c r="B51" s="20" t="str">
        <f>IF($A51="","",IFERROR(VLOOKUP($A51,Lists!$A:$C,3,FALSE),"NOT ON THE LIST"))</f>
        <v>g</v>
      </c>
      <c r="C51" s="21">
        <v>2.5</v>
      </c>
      <c r="D51" s="10"/>
      <c r="E51" s="22" t="str">
        <f>IF(OR($A51="",NOT(ISNUMBER($D51))),"",IFERROR($D51*VLOOKUP($A51,Lists!$A:$B,2,FALSE),""))</f>
        <v/>
      </c>
    </row>
    <row r="52" spans="1:5" x14ac:dyDescent="0.25">
      <c r="A52" s="13" t="s">
        <v>111</v>
      </c>
      <c r="B52" s="20" t="str">
        <f>IF($A52="","",IFERROR(VLOOKUP($A52,Lists!$A:$C,3,FALSE),"NOT ON THE LIST"))</f>
        <v>ml</v>
      </c>
      <c r="C52" s="21">
        <v>40</v>
      </c>
      <c r="D52" s="10"/>
      <c r="E52" s="22" t="str">
        <f>IF(OR($A52="",NOT(ISNUMBER($D52))),"",IFERROR($D52*VLOOKUP($A52,Lists!$A:$B,2,FALSE),""))</f>
        <v/>
      </c>
    </row>
    <row r="53" spans="1:5" x14ac:dyDescent="0.25">
      <c r="A53" s="13" t="s">
        <v>96</v>
      </c>
      <c r="B53" s="20" t="str">
        <f>IF($A53="","",IFERROR(VLOOKUP($A53,Lists!$A:$C,3,FALSE),"NOT ON THE LIST"))</f>
        <v>g</v>
      </c>
      <c r="C53" s="21">
        <v>38</v>
      </c>
      <c r="D53" s="10"/>
      <c r="E53" s="22" t="str">
        <f>IF(OR($A53="",NOT(ISNUMBER($D53))),"",IFERROR($D53*VLOOKUP($A53,Lists!$A:$B,2,FALSE),""))</f>
        <v/>
      </c>
    </row>
    <row r="54" spans="1:5" x14ac:dyDescent="0.25">
      <c r="A54" s="8"/>
      <c r="B54" s="20" t="str">
        <f>IF($A54="","",IFERROR(VLOOKUP($A54,Lists!$A:$C,3,FALSE),"NOT ON THE LIST"))</f>
        <v/>
      </c>
      <c r="C54" s="13" t="s">
        <v>2</v>
      </c>
      <c r="D54" s="10"/>
      <c r="E54" s="22" t="str">
        <f>IF(OR($A54="",NOT(ISNUMBER($D54))),"",IFERROR($D54*VLOOKUP($A54,Lists!$A:$B,2,FALSE),""))</f>
        <v/>
      </c>
    </row>
    <row r="55" spans="1:5" x14ac:dyDescent="0.25">
      <c r="A55" s="8"/>
      <c r="B55" s="20" t="str">
        <f>IF($A55="","",IFERROR(VLOOKUP($A55,Lists!$A:$C,3,FALSE),"NOT ON THE LIST"))</f>
        <v/>
      </c>
      <c r="C55" s="13" t="s">
        <v>2</v>
      </c>
      <c r="D55" s="10"/>
      <c r="E55" s="22" t="str">
        <f>IF(OR($A55="",NOT(ISNUMBER($D55))),"",IFERROR($D55*VLOOKUP($A55,Lists!$A:$B,2,FALSE),""))</f>
        <v/>
      </c>
    </row>
    <row r="56" spans="1:5" x14ac:dyDescent="0.25">
      <c r="A56" s="8"/>
      <c r="B56" s="20" t="str">
        <f>IF($A56="","",IFERROR(VLOOKUP($A56,Lists!$A:$C,3,FALSE),"NOT ON THE LIST"))</f>
        <v/>
      </c>
      <c r="C56" s="13" t="s">
        <v>2</v>
      </c>
      <c r="D56" s="10"/>
      <c r="E56" s="22" t="str">
        <f>IF(OR($A56="",NOT(ISNUMBER($D56))),"",IFERROR($D56*VLOOKUP($A56,Lists!$A:$B,2,FALSE),""))</f>
        <v/>
      </c>
    </row>
    <row r="57" spans="1:5" x14ac:dyDescent="0.25">
      <c r="A57" s="8"/>
      <c r="B57" s="20" t="str">
        <f>IF($A57="","",IFERROR(VLOOKUP($A57,Lists!$A:$C,3,FALSE),"NOT ON THE LIST"))</f>
        <v/>
      </c>
      <c r="C57" s="13" t="s">
        <v>2</v>
      </c>
      <c r="D57" s="10"/>
      <c r="E57" s="22" t="str">
        <f>IF(OR($A57="",NOT(ISNUMBER($D57))),"",IFERROR($D57*VLOOKUP($A57,Lists!$A:$B,2,FALSE),""))</f>
        <v/>
      </c>
    </row>
    <row r="58" spans="1:5" x14ac:dyDescent="0.25">
      <c r="A58" s="8"/>
      <c r="B58" s="20" t="str">
        <f>IF($A58="","",IFERROR(VLOOKUP($A58,Lists!$A:$C,3,FALSE),"NOT ON THE LIST"))</f>
        <v/>
      </c>
      <c r="C58" s="13" t="s">
        <v>2</v>
      </c>
      <c r="D58" s="10"/>
      <c r="E58" s="22" t="str">
        <f>IF(OR($A58="",NOT(ISNUMBER($D58))),"",IFERROR($D58*VLOOKUP($A58,Lists!$A:$B,2,FALSE),""))</f>
        <v/>
      </c>
    </row>
    <row r="59" spans="1:5" x14ac:dyDescent="0.25">
      <c r="A59" s="8"/>
      <c r="B59" s="20" t="str">
        <f>IF($A59="","",IFERROR(VLOOKUP($A59,Lists!$A:$C,3,FALSE),"NOT ON THE LIST"))</f>
        <v/>
      </c>
      <c r="C59" s="13" t="s">
        <v>2</v>
      </c>
      <c r="D59" s="10"/>
      <c r="E59" s="22" t="str">
        <f>IF(OR($A59="",NOT(ISNUMBER($D59))),"",IFERROR($D59*VLOOKUP($A59,Lists!$A:$B,2,FALSE),""))</f>
        <v/>
      </c>
    </row>
    <row r="60" spans="1:5" x14ac:dyDescent="0.25">
      <c r="A60" s="23" t="s">
        <v>99</v>
      </c>
      <c r="B60" s="24" t="s">
        <v>2</v>
      </c>
      <c r="C60" s="24" t="s">
        <v>2</v>
      </c>
      <c r="D60" s="24" t="s">
        <v>2</v>
      </c>
      <c r="E60" s="25">
        <f>SUM($E$50:$E$59)</f>
        <v>0</v>
      </c>
    </row>
    <row r="61" spans="1:5" x14ac:dyDescent="0.25">
      <c r="A61" s="7" t="s">
        <v>100</v>
      </c>
      <c r="B61" s="8"/>
      <c r="C61" s="13" t="s">
        <v>2</v>
      </c>
      <c r="D61" s="10"/>
      <c r="E61" s="13" t="s">
        <v>2</v>
      </c>
    </row>
    <row r="62" spans="1:5" x14ac:dyDescent="0.25">
      <c r="A62" s="23" t="s">
        <v>102</v>
      </c>
      <c r="B62" s="24" t="s">
        <v>2</v>
      </c>
      <c r="C62" s="24" t="s">
        <v>2</v>
      </c>
      <c r="D62" s="24" t="s">
        <v>2</v>
      </c>
      <c r="E62" s="26" t="str">
        <f>IF(OR(NOT(ISNUMBER($D$61)),$D$61&lt;=0),"",$E$60/$D$61)</f>
        <v/>
      </c>
    </row>
    <row r="64" ht="22" customHeight="1" spans="1:5" x14ac:dyDescent="0.25">
      <c r="A64" s="17" t="s">
        <v>112</v>
      </c>
      <c r="B64" s="18"/>
      <c r="C64" s="18"/>
      <c r="D64" s="18"/>
      <c r="E64" s="18"/>
    </row>
    <row r="65" ht="18" customHeight="1" spans="1:5" x14ac:dyDescent="0.25">
      <c r="A65" s="19" t="s">
        <v>104</v>
      </c>
    </row>
    <row r="66" ht="32" customHeight="1" spans="1:5" s="5" customFormat="1" x14ac:dyDescent="0.25">
      <c r="A66" s="5" t="s">
        <v>91</v>
      </c>
      <c r="B66" s="5" t="s">
        <v>92</v>
      </c>
      <c r="C66" s="5" t="s">
        <v>105</v>
      </c>
      <c r="D66" s="5" t="s">
        <v>94</v>
      </c>
      <c r="E66" s="5" t="s">
        <v>95</v>
      </c>
    </row>
    <row r="67" spans="1:5" x14ac:dyDescent="0.25">
      <c r="A67" s="13" t="s">
        <v>58</v>
      </c>
      <c r="B67" s="20" t="str">
        <f>IF($A67="","",IFERROR(VLOOKUP($A67,Lists!$A:$C,3,FALSE),"NOT ON THE LIST"))</f>
        <v>g</v>
      </c>
      <c r="C67" s="21">
        <v>10</v>
      </c>
      <c r="D67" s="10"/>
      <c r="E67" s="22" t="str">
        <f>IF(OR($A67="",NOT(ISNUMBER($D67))),"",IFERROR($D67*VLOOKUP($A67,Lists!$A:$B,2,FALSE),""))</f>
        <v/>
      </c>
    </row>
    <row r="68" spans="1:5" x14ac:dyDescent="0.25">
      <c r="A68" s="13" t="s">
        <v>110</v>
      </c>
      <c r="B68" s="20" t="str">
        <f>IF($A68="","",IFERROR(VLOOKUP($A68,Lists!$A:$C,3,FALSE),"NOT ON THE LIST"))</f>
        <v>g</v>
      </c>
      <c r="C68" s="21">
        <v>5</v>
      </c>
      <c r="D68" s="10"/>
      <c r="E68" s="22" t="str">
        <f>IF(OR($A68="",NOT(ISNUMBER($D68))),"",IFERROR($D68*VLOOKUP($A68,Lists!$A:$B,2,FALSE),""))</f>
        <v/>
      </c>
    </row>
    <row r="69" spans="1:5" x14ac:dyDescent="0.25">
      <c r="A69" s="13" t="s">
        <v>107</v>
      </c>
      <c r="B69" s="20" t="str">
        <f>IF($A69="","",IFERROR(VLOOKUP($A69,Lists!$A:$C,3,FALSE),"NOT ON THE LIST"))</f>
        <v>g</v>
      </c>
      <c r="C69" s="21">
        <v>0.3</v>
      </c>
      <c r="D69" s="10"/>
      <c r="E69" s="22" t="str">
        <f>IF(OR($A69="",NOT(ISNUMBER($D69))),"",IFERROR($D69*VLOOKUP($A69,Lists!$A:$B,2,FALSE),""))</f>
        <v/>
      </c>
    </row>
    <row r="70" spans="1:5" x14ac:dyDescent="0.25">
      <c r="A70" s="13" t="s">
        <v>70</v>
      </c>
      <c r="B70" s="20" t="str">
        <f>IF($A70="","",IFERROR(VLOOKUP($A70,Lists!$A:$C,3,FALSE),"NOT ON THE LIST"))</f>
        <v>g</v>
      </c>
      <c r="C70" s="21">
        <v>8</v>
      </c>
      <c r="D70" s="10"/>
      <c r="E70" s="22" t="str">
        <f>IF(OR($A70="",NOT(ISNUMBER($D70))),"",IFERROR($D70*VLOOKUP($A70,Lists!$A:$B,2,FALSE),""))</f>
        <v/>
      </c>
    </row>
    <row r="71" spans="1:5" x14ac:dyDescent="0.25">
      <c r="A71" s="13" t="s">
        <v>113</v>
      </c>
      <c r="B71" s="20" t="str">
        <f>IF($A71="","",IFERROR(VLOOKUP($A71,Lists!$A:$C,3,FALSE),"NOT ON THE LIST"))</f>
        <v>g</v>
      </c>
      <c r="C71" s="21">
        <v>10</v>
      </c>
      <c r="D71" s="10"/>
      <c r="E71" s="22" t="str">
        <f>IF(OR($A71="",NOT(ISNUMBER($D71))),"",IFERROR($D71*VLOOKUP($A71,Lists!$A:$B,2,FALSE),""))</f>
        <v/>
      </c>
    </row>
    <row r="72" spans="1:5" x14ac:dyDescent="0.25">
      <c r="A72" s="13" t="s">
        <v>78</v>
      </c>
      <c r="B72" s="20" t="str">
        <f>IF($A72="","",IFERROR(VLOOKUP($A72,Lists!$A:$C,3,FALSE),"NOT ON THE LIST"))</f>
        <v>g</v>
      </c>
      <c r="C72" s="21">
        <v>0.5</v>
      </c>
      <c r="D72" s="10"/>
      <c r="E72" s="22" t="str">
        <f>IF(OR($A72="",NOT(ISNUMBER($D72))),"",IFERROR($D72*VLOOKUP($A72,Lists!$A:$B,2,FALSE),""))</f>
        <v/>
      </c>
    </row>
    <row r="73" spans="1:5" x14ac:dyDescent="0.25">
      <c r="A73" s="8"/>
      <c r="B73" s="20" t="str">
        <f>IF($A73="","",IFERROR(VLOOKUP($A73,Lists!$A:$C,3,FALSE),"NOT ON THE LIST"))</f>
        <v/>
      </c>
      <c r="C73" s="13" t="s">
        <v>2</v>
      </c>
      <c r="D73" s="10"/>
      <c r="E73" s="22" t="str">
        <f>IF(OR($A73="",NOT(ISNUMBER($D73))),"",IFERROR($D73*VLOOKUP($A73,Lists!$A:$B,2,FALSE),""))</f>
        <v/>
      </c>
    </row>
    <row r="74" spans="1:5" x14ac:dyDescent="0.25">
      <c r="A74" s="8"/>
      <c r="B74" s="20" t="str">
        <f>IF($A74="","",IFERROR(VLOOKUP($A74,Lists!$A:$C,3,FALSE),"NOT ON THE LIST"))</f>
        <v/>
      </c>
      <c r="C74" s="13" t="s">
        <v>2</v>
      </c>
      <c r="D74" s="10"/>
      <c r="E74" s="22" t="str">
        <f>IF(OR($A74="",NOT(ISNUMBER($D74))),"",IFERROR($D74*VLOOKUP($A74,Lists!$A:$B,2,FALSE),""))</f>
        <v/>
      </c>
    </row>
    <row r="75" spans="1:5" x14ac:dyDescent="0.25">
      <c r="A75" s="8"/>
      <c r="B75" s="20" t="str">
        <f>IF($A75="","",IFERROR(VLOOKUP($A75,Lists!$A:$C,3,FALSE),"NOT ON THE LIST"))</f>
        <v/>
      </c>
      <c r="C75" s="13" t="s">
        <v>2</v>
      </c>
      <c r="D75" s="10"/>
      <c r="E75" s="22" t="str">
        <f>IF(OR($A75="",NOT(ISNUMBER($D75))),"",IFERROR($D75*VLOOKUP($A75,Lists!$A:$B,2,FALSE),""))</f>
        <v/>
      </c>
    </row>
    <row r="76" spans="1:5" x14ac:dyDescent="0.25">
      <c r="A76" s="8"/>
      <c r="B76" s="20" t="str">
        <f>IF($A76="","",IFERROR(VLOOKUP($A76,Lists!$A:$C,3,FALSE),"NOT ON THE LIST"))</f>
        <v/>
      </c>
      <c r="C76" s="13" t="s">
        <v>2</v>
      </c>
      <c r="D76" s="10"/>
      <c r="E76" s="22" t="str">
        <f>IF(OR($A76="",NOT(ISNUMBER($D76))),"",IFERROR($D76*VLOOKUP($A76,Lists!$A:$B,2,FALSE),""))</f>
        <v/>
      </c>
    </row>
    <row r="77" spans="1:5" x14ac:dyDescent="0.25">
      <c r="A77" s="8"/>
      <c r="B77" s="20" t="str">
        <f>IF($A77="","",IFERROR(VLOOKUP($A77,Lists!$A:$C,3,FALSE),"NOT ON THE LIST"))</f>
        <v/>
      </c>
      <c r="C77" s="13" t="s">
        <v>2</v>
      </c>
      <c r="D77" s="10"/>
      <c r="E77" s="22" t="str">
        <f>IF(OR($A77="",NOT(ISNUMBER($D77))),"",IFERROR($D77*VLOOKUP($A77,Lists!$A:$B,2,FALSE),""))</f>
        <v/>
      </c>
    </row>
    <row r="78" spans="1:5" x14ac:dyDescent="0.25">
      <c r="A78" s="8"/>
      <c r="B78" s="20" t="str">
        <f>IF($A78="","",IFERROR(VLOOKUP($A78,Lists!$A:$C,3,FALSE),"NOT ON THE LIST"))</f>
        <v/>
      </c>
      <c r="C78" s="13" t="s">
        <v>2</v>
      </c>
      <c r="D78" s="10"/>
      <c r="E78" s="22" t="str">
        <f>IF(OR($A78="",NOT(ISNUMBER($D78))),"",IFERROR($D78*VLOOKUP($A78,Lists!$A:$B,2,FALSE),""))</f>
        <v/>
      </c>
    </row>
    <row r="79" spans="1:5" x14ac:dyDescent="0.25">
      <c r="A79" s="23" t="s">
        <v>99</v>
      </c>
      <c r="B79" s="24" t="s">
        <v>2</v>
      </c>
      <c r="C79" s="24" t="s">
        <v>2</v>
      </c>
      <c r="D79" s="24" t="s">
        <v>2</v>
      </c>
      <c r="E79" s="25">
        <f>SUM($E$67:$E$78)</f>
        <v>0</v>
      </c>
    </row>
    <row r="80" spans="1:5" x14ac:dyDescent="0.25">
      <c r="A80" s="7" t="s">
        <v>100</v>
      </c>
      <c r="B80" s="8"/>
      <c r="C80" s="13" t="s">
        <v>2</v>
      </c>
      <c r="D80" s="10"/>
      <c r="E80" s="13" t="s">
        <v>2</v>
      </c>
    </row>
    <row r="81" spans="1:5" x14ac:dyDescent="0.25">
      <c r="A81" s="23" t="s">
        <v>102</v>
      </c>
      <c r="B81" s="24" t="s">
        <v>2</v>
      </c>
      <c r="C81" s="24" t="s">
        <v>2</v>
      </c>
      <c r="D81" s="24" t="s">
        <v>2</v>
      </c>
      <c r="E81" s="26" t="str">
        <f>IF(OR(NOT(ISNUMBER($D$80)),$D$80&lt;=0),"",$E$79/$D$80)</f>
        <v/>
      </c>
    </row>
    <row r="83" ht="22" customHeight="1" spans="1:5" x14ac:dyDescent="0.25">
      <c r="A83" s="17" t="s">
        <v>114</v>
      </c>
      <c r="B83" s="18"/>
      <c r="C83" s="18"/>
      <c r="D83" s="18"/>
      <c r="E83" s="18"/>
    </row>
    <row r="84" ht="18" customHeight="1" spans="1:5" x14ac:dyDescent="0.25">
      <c r="A84" s="19" t="s">
        <v>104</v>
      </c>
    </row>
    <row r="85" ht="32" customHeight="1" spans="1:5" s="5" customFormat="1" x14ac:dyDescent="0.25">
      <c r="A85" s="5" t="s">
        <v>91</v>
      </c>
      <c r="B85" s="5" t="s">
        <v>92</v>
      </c>
      <c r="C85" s="5" t="s">
        <v>105</v>
      </c>
      <c r="D85" s="5" t="s">
        <v>94</v>
      </c>
      <c r="E85" s="5" t="s">
        <v>95</v>
      </c>
    </row>
    <row r="86" spans="1:5" x14ac:dyDescent="0.25">
      <c r="A86" s="13" t="s">
        <v>55</v>
      </c>
      <c r="B86" s="20" t="str">
        <f>IF($A86="","",IFERROR(VLOOKUP($A86,Lists!$A:$C,3,FALSE),"NOT ON THE LIST"))</f>
        <v>g</v>
      </c>
      <c r="C86" s="21">
        <v>7</v>
      </c>
      <c r="D86" s="10"/>
      <c r="E86" s="22" t="str">
        <f>IF(OR($A86="",NOT(ISNUMBER($D86))),"",IFERROR($D86*VLOOKUP($A86,Lists!$A:$B,2,FALSE),""))</f>
        <v/>
      </c>
    </row>
    <row r="87" spans="1:5" x14ac:dyDescent="0.25">
      <c r="A87" s="13" t="s">
        <v>58</v>
      </c>
      <c r="B87" s="20" t="str">
        <f>IF($A87="","",IFERROR(VLOOKUP($A87,Lists!$A:$C,3,FALSE),"NOT ON THE LIST"))</f>
        <v>g</v>
      </c>
      <c r="C87" s="21">
        <v>15</v>
      </c>
      <c r="D87" s="10"/>
      <c r="E87" s="22" t="str">
        <f>IF(OR($A87="",NOT(ISNUMBER($D87))),"",IFERROR($D87*VLOOKUP($A87,Lists!$A:$B,2,FALSE),""))</f>
        <v/>
      </c>
    </row>
    <row r="88" spans="1:5" x14ac:dyDescent="0.25">
      <c r="A88" s="13" t="s">
        <v>62</v>
      </c>
      <c r="B88" s="20" t="str">
        <f>IF($A88="","",IFERROR(VLOOKUP($A88,Lists!$A:$C,3,FALSE),"NOT ON THE LIST"))</f>
        <v>g</v>
      </c>
      <c r="C88" s="21">
        <v>0.2</v>
      </c>
      <c r="D88" s="10"/>
      <c r="E88" s="22" t="str">
        <f>IF(OR($A88="",NOT(ISNUMBER($D88))),"",IFERROR($D88*VLOOKUP($A88,Lists!$A:$B,2,FALSE),""))</f>
        <v/>
      </c>
    </row>
    <row r="89" spans="1:5" x14ac:dyDescent="0.25">
      <c r="A89" s="13" t="s">
        <v>63</v>
      </c>
      <c r="B89" s="20" t="str">
        <f>IF($A89="","",IFERROR(VLOOKUP($A89,Lists!$A:$C,3,FALSE),"NOT ON THE LIST"))</f>
        <v>g</v>
      </c>
      <c r="C89" s="21">
        <v>0.1</v>
      </c>
      <c r="D89" s="10"/>
      <c r="E89" s="22" t="str">
        <f>IF(OR($A89="",NOT(ISNUMBER($D89))),"",IFERROR($D89*VLOOKUP($A89,Lists!$A:$B,2,FALSE),""))</f>
        <v/>
      </c>
    </row>
    <row r="90" spans="1:5" x14ac:dyDescent="0.25">
      <c r="A90" s="13" t="s">
        <v>64</v>
      </c>
      <c r="B90" s="20" t="str">
        <f>IF($A90="","",IFERROR(VLOOKUP($A90,Lists!$A:$C,3,FALSE),"NOT ON THE LIST"))</f>
        <v>g</v>
      </c>
      <c r="C90" s="21">
        <v>10</v>
      </c>
      <c r="D90" s="10"/>
      <c r="E90" s="22" t="str">
        <f>IF(OR($A90="",NOT(ISNUMBER($D90))),"",IFERROR($D90*VLOOKUP($A90,Lists!$A:$B,2,FALSE),""))</f>
        <v/>
      </c>
    </row>
    <row r="91" spans="1:5" x14ac:dyDescent="0.25">
      <c r="A91" s="13" t="s">
        <v>115</v>
      </c>
      <c r="B91" s="20" t="str">
        <f>IF($A91="","",IFERROR(VLOOKUP($A91,Lists!$A:$C,3,FALSE),"NOT ON THE LIST"))</f>
        <v>g</v>
      </c>
      <c r="C91" s="21">
        <v>20</v>
      </c>
      <c r="D91" s="10"/>
      <c r="E91" s="22" t="str">
        <f>IF(OR($A91="",NOT(ISNUMBER($D91))),"",IFERROR($D91*VLOOKUP($A91,Lists!$A:$B,2,FALSE),""))</f>
        <v/>
      </c>
    </row>
    <row r="92" spans="1:5" x14ac:dyDescent="0.25">
      <c r="A92" s="13" t="s">
        <v>70</v>
      </c>
      <c r="B92" s="20" t="str">
        <f>IF($A92="","",IFERROR(VLOOKUP($A92,Lists!$A:$C,3,FALSE),"NOT ON THE LIST"))</f>
        <v>g</v>
      </c>
      <c r="C92" s="21">
        <v>30</v>
      </c>
      <c r="D92" s="10"/>
      <c r="E92" s="22" t="str">
        <f>IF(OR($A92="",NOT(ISNUMBER($D92))),"",IFERROR($D92*VLOOKUP($A92,Lists!$A:$B,2,FALSE),""))</f>
        <v/>
      </c>
    </row>
    <row r="93" spans="1:5" x14ac:dyDescent="0.25">
      <c r="A93" s="13" t="s">
        <v>78</v>
      </c>
      <c r="B93" s="20" t="str">
        <f>IF($A93="","",IFERROR(VLOOKUP($A93,Lists!$A:$C,3,FALSE),"NOT ON THE LIST"))</f>
        <v>g</v>
      </c>
      <c r="C93" s="21">
        <v>0.5</v>
      </c>
      <c r="D93" s="10"/>
      <c r="E93" s="22" t="str">
        <f>IF(OR($A93="",NOT(ISNUMBER($D93))),"",IFERROR($D93*VLOOKUP($A93,Lists!$A:$B,2,FALSE),""))</f>
        <v/>
      </c>
    </row>
    <row r="94" spans="1:5" x14ac:dyDescent="0.25">
      <c r="A94" s="13" t="s">
        <v>80</v>
      </c>
      <c r="B94" s="20" t="str">
        <f>IF($A94="","",IFERROR(VLOOKUP($A94,Lists!$A:$C,3,FALSE),"NOT ON THE LIST"))</f>
        <v>g</v>
      </c>
      <c r="C94" s="21">
        <v>0.2</v>
      </c>
      <c r="D94" s="10"/>
      <c r="E94" s="22" t="str">
        <f>IF(OR($A94="",NOT(ISNUMBER($D94))),"",IFERROR($D94*VLOOKUP($A94,Lists!$A:$B,2,FALSE),""))</f>
        <v/>
      </c>
    </row>
    <row r="95" spans="1:5" x14ac:dyDescent="0.25">
      <c r="A95" s="13" t="s">
        <v>81</v>
      </c>
      <c r="B95" s="20" t="str">
        <f>IF($A95="","",IFERROR(VLOOKUP($A95,Lists!$A:$C,3,FALSE),"NOT ON THE LIST"))</f>
        <v>g</v>
      </c>
      <c r="C95" s="21">
        <v>0.2</v>
      </c>
      <c r="D95" s="10"/>
      <c r="E95" s="22" t="str">
        <f>IF(OR($A95="",NOT(ISNUMBER($D95))),"",IFERROR($D95*VLOOKUP($A95,Lists!$A:$B,2,FALSE),""))</f>
        <v/>
      </c>
    </row>
    <row r="96" spans="1:5" x14ac:dyDescent="0.25">
      <c r="A96" s="13" t="s">
        <v>82</v>
      </c>
      <c r="B96" s="20" t="str">
        <f>IF($A96="","",IFERROR(VLOOKUP($A96,Lists!$A:$C,3,FALSE),"NOT ON THE LIST"))</f>
        <v>g</v>
      </c>
      <c r="C96" s="21">
        <v>5</v>
      </c>
      <c r="D96" s="10"/>
      <c r="E96" s="22" t="str">
        <f>IF(OR($A96="",NOT(ISNUMBER($D96))),"",IFERROR($D96*VLOOKUP($A96,Lists!$A:$B,2,FALSE),""))</f>
        <v/>
      </c>
    </row>
    <row r="97" spans="1:5" x14ac:dyDescent="0.25">
      <c r="A97" s="13" t="s">
        <v>98</v>
      </c>
      <c r="B97" s="20" t="str">
        <f>IF($A97="","",IFERROR(VLOOKUP($A97,Lists!$A:$C,3,FALSE),"NOT ON THE LIST"))</f>
        <v>ml</v>
      </c>
      <c r="C97" s="21">
        <v>5</v>
      </c>
      <c r="D97" s="10"/>
      <c r="E97" s="22" t="str">
        <f>IF(OR($A97="",NOT(ISNUMBER($D97))),"",IFERROR($D97*VLOOKUP($A97,Lists!$A:$B,2,FALSE),""))</f>
        <v/>
      </c>
    </row>
    <row r="98" spans="1:5" x14ac:dyDescent="0.25">
      <c r="A98" s="8"/>
      <c r="B98" s="20" t="str">
        <f>IF($A98="","",IFERROR(VLOOKUP($A98,Lists!$A:$C,3,FALSE),"NOT ON THE LIST"))</f>
        <v/>
      </c>
      <c r="C98" s="13" t="s">
        <v>2</v>
      </c>
      <c r="D98" s="10"/>
      <c r="E98" s="22" t="str">
        <f>IF(OR($A98="",NOT(ISNUMBER($D98))),"",IFERROR($D98*VLOOKUP($A98,Lists!$A:$B,2,FALSE),""))</f>
        <v/>
      </c>
    </row>
    <row r="99" spans="1:5" x14ac:dyDescent="0.25">
      <c r="A99" s="8"/>
      <c r="B99" s="20" t="str">
        <f>IF($A99="","",IFERROR(VLOOKUP($A99,Lists!$A:$C,3,FALSE),"NOT ON THE LIST"))</f>
        <v/>
      </c>
      <c r="C99" s="13" t="s">
        <v>2</v>
      </c>
      <c r="D99" s="10"/>
      <c r="E99" s="22" t="str">
        <f>IF(OR($A99="",NOT(ISNUMBER($D99))),"",IFERROR($D99*VLOOKUP($A99,Lists!$A:$B,2,FALSE),""))</f>
        <v/>
      </c>
    </row>
    <row r="100" spans="1:5" x14ac:dyDescent="0.25">
      <c r="A100" s="8"/>
      <c r="B100" s="20" t="str">
        <f>IF($A100="","",IFERROR(VLOOKUP($A100,Lists!$A:$C,3,FALSE),"NOT ON THE LIST"))</f>
        <v/>
      </c>
      <c r="C100" s="13" t="s">
        <v>2</v>
      </c>
      <c r="D100" s="10"/>
      <c r="E100" s="22" t="str">
        <f>IF(OR($A100="",NOT(ISNUMBER($D100))),"",IFERROR($D100*VLOOKUP($A100,Lists!$A:$B,2,FALSE),""))</f>
        <v/>
      </c>
    </row>
    <row r="101" spans="1:5" x14ac:dyDescent="0.25">
      <c r="A101" s="8"/>
      <c r="B101" s="20" t="str">
        <f>IF($A101="","",IFERROR(VLOOKUP($A101,Lists!$A:$C,3,FALSE),"NOT ON THE LIST"))</f>
        <v/>
      </c>
      <c r="C101" s="13" t="s">
        <v>2</v>
      </c>
      <c r="D101" s="10"/>
      <c r="E101" s="22" t="str">
        <f>IF(OR($A101="",NOT(ISNUMBER($D101))),"",IFERROR($D101*VLOOKUP($A101,Lists!$A:$B,2,FALSE),""))</f>
        <v/>
      </c>
    </row>
    <row r="102" spans="1:5" x14ac:dyDescent="0.25">
      <c r="A102" s="8"/>
      <c r="B102" s="20" t="str">
        <f>IF($A102="","",IFERROR(VLOOKUP($A102,Lists!$A:$C,3,FALSE),"NOT ON THE LIST"))</f>
        <v/>
      </c>
      <c r="C102" s="13" t="s">
        <v>2</v>
      </c>
      <c r="D102" s="10"/>
      <c r="E102" s="22" t="str">
        <f>IF(OR($A102="",NOT(ISNUMBER($D102))),"",IFERROR($D102*VLOOKUP($A102,Lists!$A:$B,2,FALSE),""))</f>
        <v/>
      </c>
    </row>
    <row r="103" spans="1:5" x14ac:dyDescent="0.25">
      <c r="A103" s="8"/>
      <c r="B103" s="20" t="str">
        <f>IF($A103="","",IFERROR(VLOOKUP($A103,Lists!$A:$C,3,FALSE),"NOT ON THE LIST"))</f>
        <v/>
      </c>
      <c r="C103" s="13" t="s">
        <v>2</v>
      </c>
      <c r="D103" s="10"/>
      <c r="E103" s="22" t="str">
        <f>IF(OR($A103="",NOT(ISNUMBER($D103))),"",IFERROR($D103*VLOOKUP($A103,Lists!$A:$B,2,FALSE),""))</f>
        <v/>
      </c>
    </row>
    <row r="104" spans="1:5" x14ac:dyDescent="0.25">
      <c r="A104" s="23" t="s">
        <v>99</v>
      </c>
      <c r="B104" s="24" t="s">
        <v>2</v>
      </c>
      <c r="C104" s="24" t="s">
        <v>2</v>
      </c>
      <c r="D104" s="24" t="s">
        <v>2</v>
      </c>
      <c r="E104" s="25">
        <f>SUM($E$86:$E$103)</f>
        <v>0</v>
      </c>
    </row>
    <row r="105" spans="1:5" x14ac:dyDescent="0.25">
      <c r="A105" s="7" t="s">
        <v>100</v>
      </c>
      <c r="B105" s="8"/>
      <c r="C105" s="13" t="s">
        <v>2</v>
      </c>
      <c r="D105" s="10"/>
      <c r="E105" s="13" t="s">
        <v>2</v>
      </c>
    </row>
    <row r="106" spans="1:5" x14ac:dyDescent="0.25">
      <c r="A106" s="23" t="s">
        <v>102</v>
      </c>
      <c r="B106" s="24" t="s">
        <v>2</v>
      </c>
      <c r="C106" s="24" t="s">
        <v>2</v>
      </c>
      <c r="D106" s="24" t="s">
        <v>2</v>
      </c>
      <c r="E106" s="26" t="str">
        <f>IF(OR(NOT(ISNUMBER($D$105)),$D$105&lt;=0),"",$E$104/$D$105)</f>
        <v/>
      </c>
    </row>
    <row r="108" ht="22" customHeight="1" spans="1:5" x14ac:dyDescent="0.25">
      <c r="A108" s="17" t="s">
        <v>116</v>
      </c>
      <c r="B108" s="18"/>
      <c r="C108" s="18"/>
      <c r="D108" s="18"/>
      <c r="E108" s="18"/>
    </row>
    <row r="109" ht="18" customHeight="1" spans="1:5" x14ac:dyDescent="0.25">
      <c r="A109" s="19" t="s">
        <v>104</v>
      </c>
    </row>
    <row r="110" ht="32" customHeight="1" spans="1:5" s="5" customFormat="1" x14ac:dyDescent="0.25">
      <c r="A110" s="5" t="s">
        <v>91</v>
      </c>
      <c r="B110" s="5" t="s">
        <v>92</v>
      </c>
      <c r="C110" s="5" t="s">
        <v>105</v>
      </c>
      <c r="D110" s="5" t="s">
        <v>94</v>
      </c>
      <c r="E110" s="5" t="s">
        <v>95</v>
      </c>
    </row>
    <row r="111" spans="1:5" x14ac:dyDescent="0.25">
      <c r="A111" s="13" t="s">
        <v>70</v>
      </c>
      <c r="B111" s="20" t="str">
        <f>IF($A111="","",IFERROR(VLOOKUP($A111,Lists!$A:$C,3,FALSE),"NOT ON THE LIST"))</f>
        <v>g</v>
      </c>
      <c r="C111" s="21">
        <v>12</v>
      </c>
      <c r="D111" s="10"/>
      <c r="E111" s="22" t="str">
        <f>IF(OR($A111="",NOT(ISNUMBER($D111))),"",IFERROR($D111*VLOOKUP($A111,Lists!$A:$B,2,FALSE),""))</f>
        <v/>
      </c>
    </row>
    <row r="112" spans="1:5" x14ac:dyDescent="0.25">
      <c r="A112" s="13" t="s">
        <v>84</v>
      </c>
      <c r="B112" s="20" t="str">
        <f>IF($A112="","",IFERROR(VLOOKUP($A112,Lists!$A:$C,3,FALSE),"NOT ON THE LIST"))</f>
        <v>g</v>
      </c>
      <c r="C112" s="21">
        <v>15</v>
      </c>
      <c r="D112" s="10"/>
      <c r="E112" s="22" t="str">
        <f>IF(OR($A112="",NOT(ISNUMBER($D112))),"",IFERROR($D112*VLOOKUP($A112,Lists!$A:$B,2,FALSE),""))</f>
        <v/>
      </c>
    </row>
    <row r="113" spans="1:5" x14ac:dyDescent="0.25">
      <c r="A113" s="8"/>
      <c r="B113" s="20" t="str">
        <f>IF($A113="","",IFERROR(VLOOKUP($A113,Lists!$A:$C,3,FALSE),"NOT ON THE LIST"))</f>
        <v/>
      </c>
      <c r="C113" s="13" t="s">
        <v>2</v>
      </c>
      <c r="D113" s="10"/>
      <c r="E113" s="22" t="str">
        <f>IF(OR($A113="",NOT(ISNUMBER($D113))),"",IFERROR($D113*VLOOKUP($A113,Lists!$A:$B,2,FALSE),""))</f>
        <v/>
      </c>
    </row>
    <row r="114" spans="1:5" x14ac:dyDescent="0.25">
      <c r="A114" s="8"/>
      <c r="B114" s="20" t="str">
        <f>IF($A114="","",IFERROR(VLOOKUP($A114,Lists!$A:$C,3,FALSE),"NOT ON THE LIST"))</f>
        <v/>
      </c>
      <c r="C114" s="13" t="s">
        <v>2</v>
      </c>
      <c r="D114" s="10"/>
      <c r="E114" s="22" t="str">
        <f>IF(OR($A114="",NOT(ISNUMBER($D114))),"",IFERROR($D114*VLOOKUP($A114,Lists!$A:$B,2,FALSE),""))</f>
        <v/>
      </c>
    </row>
    <row r="115" spans="1:5" x14ac:dyDescent="0.25">
      <c r="A115" s="8"/>
      <c r="B115" s="20" t="str">
        <f>IF($A115="","",IFERROR(VLOOKUP($A115,Lists!$A:$C,3,FALSE),"NOT ON THE LIST"))</f>
        <v/>
      </c>
      <c r="C115" s="13" t="s">
        <v>2</v>
      </c>
      <c r="D115" s="10"/>
      <c r="E115" s="22" t="str">
        <f>IF(OR($A115="",NOT(ISNUMBER($D115))),"",IFERROR($D115*VLOOKUP($A115,Lists!$A:$B,2,FALSE),""))</f>
        <v/>
      </c>
    </row>
    <row r="116" spans="1:5" x14ac:dyDescent="0.25">
      <c r="A116" s="8"/>
      <c r="B116" s="20" t="str">
        <f>IF($A116="","",IFERROR(VLOOKUP($A116,Lists!$A:$C,3,FALSE),"NOT ON THE LIST"))</f>
        <v/>
      </c>
      <c r="C116" s="13" t="s">
        <v>2</v>
      </c>
      <c r="D116" s="10"/>
      <c r="E116" s="22" t="str">
        <f>IF(OR($A116="",NOT(ISNUMBER($D116))),"",IFERROR($D116*VLOOKUP($A116,Lists!$A:$B,2,FALSE),""))</f>
        <v/>
      </c>
    </row>
    <row r="117" spans="1:5" x14ac:dyDescent="0.25">
      <c r="A117" s="8"/>
      <c r="B117" s="20" t="str">
        <f>IF($A117="","",IFERROR(VLOOKUP($A117,Lists!$A:$C,3,FALSE),"NOT ON THE LIST"))</f>
        <v/>
      </c>
      <c r="C117" s="13" t="s">
        <v>2</v>
      </c>
      <c r="D117" s="10"/>
      <c r="E117" s="22" t="str">
        <f>IF(OR($A117="",NOT(ISNUMBER($D117))),"",IFERROR($D117*VLOOKUP($A117,Lists!$A:$B,2,FALSE),""))</f>
        <v/>
      </c>
    </row>
    <row r="118" spans="1:5" x14ac:dyDescent="0.25">
      <c r="A118" s="8"/>
      <c r="B118" s="20" t="str">
        <f>IF($A118="","",IFERROR(VLOOKUP($A118,Lists!$A:$C,3,FALSE),"NOT ON THE LIST"))</f>
        <v/>
      </c>
      <c r="C118" s="13" t="s">
        <v>2</v>
      </c>
      <c r="D118" s="10"/>
      <c r="E118" s="22" t="str">
        <f>IF(OR($A118="",NOT(ISNUMBER($D118))),"",IFERROR($D118*VLOOKUP($A118,Lists!$A:$B,2,FALSE),""))</f>
        <v/>
      </c>
    </row>
    <row r="119" spans="1:5" x14ac:dyDescent="0.25">
      <c r="A119" s="23" t="s">
        <v>99</v>
      </c>
      <c r="B119" s="24" t="s">
        <v>2</v>
      </c>
      <c r="C119" s="24" t="s">
        <v>2</v>
      </c>
      <c r="D119" s="24" t="s">
        <v>2</v>
      </c>
      <c r="E119" s="25">
        <f>SUM($E$111:$E$118)</f>
        <v>0</v>
      </c>
    </row>
    <row r="120" spans="1:5" x14ac:dyDescent="0.25">
      <c r="A120" s="7" t="s">
        <v>100</v>
      </c>
      <c r="B120" s="8"/>
      <c r="C120" s="13" t="s">
        <v>2</v>
      </c>
      <c r="D120" s="10"/>
      <c r="E120" s="13" t="s">
        <v>2</v>
      </c>
    </row>
    <row r="121" spans="1:5" x14ac:dyDescent="0.25">
      <c r="A121" s="23" t="s">
        <v>102</v>
      </c>
      <c r="B121" s="24" t="s">
        <v>2</v>
      </c>
      <c r="C121" s="24" t="s">
        <v>2</v>
      </c>
      <c r="D121" s="24" t="s">
        <v>2</v>
      </c>
      <c r="E121" s="26" t="str">
        <f>IF(OR(NOT(ISNUMBER($D$120)),$D$120&lt;=0),"",$E$119/$D$120)</f>
        <v/>
      </c>
    </row>
    <row r="123" ht="22" customHeight="1" spans="1:5" x14ac:dyDescent="0.25">
      <c r="A123" s="17" t="s">
        <v>117</v>
      </c>
      <c r="B123" s="18"/>
      <c r="C123" s="18"/>
      <c r="D123" s="18"/>
      <c r="E123" s="18"/>
    </row>
    <row r="124" ht="18" customHeight="1" spans="1:5" x14ac:dyDescent="0.25">
      <c r="A124" s="19" t="s">
        <v>104</v>
      </c>
    </row>
    <row r="125" ht="32" customHeight="1" spans="1:5" s="5" customFormat="1" x14ac:dyDescent="0.25">
      <c r="A125" s="5" t="s">
        <v>91</v>
      </c>
      <c r="B125" s="5" t="s">
        <v>92</v>
      </c>
      <c r="C125" s="5" t="s">
        <v>105</v>
      </c>
      <c r="D125" s="5" t="s">
        <v>94</v>
      </c>
      <c r="E125" s="5" t="s">
        <v>95</v>
      </c>
    </row>
    <row r="126" spans="1:5" x14ac:dyDescent="0.25">
      <c r="A126" s="13" t="s">
        <v>118</v>
      </c>
      <c r="B126" s="20" t="str">
        <f>IF($A126="","",IFERROR(VLOOKUP($A126,Lists!$A:$C,3,FALSE),"NOT ON THE LIST"))</f>
        <v>g</v>
      </c>
      <c r="C126" s="21">
        <v>6</v>
      </c>
      <c r="D126" s="10"/>
      <c r="E126" s="22" t="str">
        <f>IF(OR($A126="",NOT(ISNUMBER($D126))),"",IFERROR($D126*VLOOKUP($A126,Lists!$A:$B,2,FALSE),""))</f>
        <v/>
      </c>
    </row>
    <row r="127" spans="1:5" x14ac:dyDescent="0.25">
      <c r="A127" s="13" t="s">
        <v>97</v>
      </c>
      <c r="B127" s="20" t="str">
        <f>IF($A127="","",IFERROR(VLOOKUP($A127,Lists!$A:$C,3,FALSE),"NOT ON THE LIST"))</f>
        <v>g</v>
      </c>
      <c r="C127" s="21">
        <v>1.3</v>
      </c>
      <c r="D127" s="10"/>
      <c r="E127" s="22" t="str">
        <f>IF(OR($A127="",NOT(ISNUMBER($D127))),"",IFERROR($D127*VLOOKUP($A127,Lists!$A:$B,2,FALSE),""))</f>
        <v/>
      </c>
    </row>
    <row r="128" spans="1:5" x14ac:dyDescent="0.25">
      <c r="A128" s="13" t="s">
        <v>66</v>
      </c>
      <c r="B128" s="20" t="str">
        <f>IF($A128="","",IFERROR(VLOOKUP($A128,Lists!$A:$C,3,FALSE),"NOT ON THE LIST"))</f>
        <v>g</v>
      </c>
      <c r="C128" s="21">
        <v>1.3</v>
      </c>
      <c r="D128" s="10"/>
      <c r="E128" s="22" t="str">
        <f>IF(OR($A128="",NOT(ISNUMBER($D128))),"",IFERROR($D128*VLOOKUP($A128,Lists!$A:$B,2,FALSE),""))</f>
        <v/>
      </c>
    </row>
    <row r="129" spans="1:5" x14ac:dyDescent="0.25">
      <c r="A129" s="13" t="s">
        <v>72</v>
      </c>
      <c r="B129" s="20" t="str">
        <f>IF($A129="","",IFERROR(VLOOKUP($A129,Lists!$A:$C,3,FALSE),"NOT ON THE LIST"))</f>
        <v>g</v>
      </c>
      <c r="C129" s="21">
        <v>44</v>
      </c>
      <c r="D129" s="10"/>
      <c r="E129" s="22" t="str">
        <f>IF(OR($A129="",NOT(ISNUMBER($D129))),"",IFERROR($D129*VLOOKUP($A129,Lists!$A:$B,2,FALSE),""))</f>
        <v/>
      </c>
    </row>
    <row r="130" spans="1:5" x14ac:dyDescent="0.25">
      <c r="A130" s="13" t="s">
        <v>74</v>
      </c>
      <c r="B130" s="20" t="str">
        <f>IF($A130="","",IFERROR(VLOOKUP($A130,Lists!$A:$C,3,FALSE),"NOT ON THE LIST"))</f>
        <v>g</v>
      </c>
      <c r="C130" s="21">
        <v>5</v>
      </c>
      <c r="D130" s="10"/>
      <c r="E130" s="22" t="str">
        <f>IF(OR($A130="",NOT(ISNUMBER($D130))),"",IFERROR($D130*VLOOKUP($A130,Lists!$A:$B,2,FALSE),""))</f>
        <v/>
      </c>
    </row>
    <row r="131" spans="1:5" x14ac:dyDescent="0.25">
      <c r="A131" s="13" t="s">
        <v>119</v>
      </c>
      <c r="B131" s="20" t="str">
        <f>IF($A131="","",IFERROR(VLOOKUP($A131,Lists!$A:$C,3,FALSE),"NOT ON THE LIST"))</f>
        <v>g</v>
      </c>
      <c r="C131" s="21">
        <v>0.4</v>
      </c>
      <c r="D131" s="10"/>
      <c r="E131" s="22" t="str">
        <f>IF(OR($A131="",NOT(ISNUMBER($D131))),"",IFERROR($D131*VLOOKUP($A131,Lists!$A:$B,2,FALSE),""))</f>
        <v/>
      </c>
    </row>
    <row r="132" spans="1:5" x14ac:dyDescent="0.25">
      <c r="A132" s="13" t="s">
        <v>84</v>
      </c>
      <c r="B132" s="20" t="str">
        <f>IF($A132="","",IFERROR(VLOOKUP($A132,Lists!$A:$C,3,FALSE),"NOT ON THE LIST"))</f>
        <v>g</v>
      </c>
      <c r="C132" s="21">
        <v>7</v>
      </c>
      <c r="D132" s="10"/>
      <c r="E132" s="22" t="str">
        <f>IF(OR($A132="",NOT(ISNUMBER($D132))),"",IFERROR($D132*VLOOKUP($A132,Lists!$A:$B,2,FALSE),""))</f>
        <v/>
      </c>
    </row>
    <row r="133" spans="1:5" x14ac:dyDescent="0.25">
      <c r="A133" s="8"/>
      <c r="B133" s="20" t="str">
        <f>IF($A133="","",IFERROR(VLOOKUP($A133,Lists!$A:$C,3,FALSE),"NOT ON THE LIST"))</f>
        <v/>
      </c>
      <c r="C133" s="13" t="s">
        <v>2</v>
      </c>
      <c r="D133" s="10"/>
      <c r="E133" s="22" t="str">
        <f>IF(OR($A133="",NOT(ISNUMBER($D133))),"",IFERROR($D133*VLOOKUP($A133,Lists!$A:$B,2,FALSE),""))</f>
        <v/>
      </c>
    </row>
    <row r="134" spans="1:5" x14ac:dyDescent="0.25">
      <c r="A134" s="8"/>
      <c r="B134" s="20" t="str">
        <f>IF($A134="","",IFERROR(VLOOKUP($A134,Lists!$A:$C,3,FALSE),"NOT ON THE LIST"))</f>
        <v/>
      </c>
      <c r="C134" s="13" t="s">
        <v>2</v>
      </c>
      <c r="D134" s="10"/>
      <c r="E134" s="22" t="str">
        <f>IF(OR($A134="",NOT(ISNUMBER($D134))),"",IFERROR($D134*VLOOKUP($A134,Lists!$A:$B,2,FALSE),""))</f>
        <v/>
      </c>
    </row>
    <row r="135" spans="1:5" x14ac:dyDescent="0.25">
      <c r="A135" s="8"/>
      <c r="B135" s="20" t="str">
        <f>IF($A135="","",IFERROR(VLOOKUP($A135,Lists!$A:$C,3,FALSE),"NOT ON THE LIST"))</f>
        <v/>
      </c>
      <c r="C135" s="13" t="s">
        <v>2</v>
      </c>
      <c r="D135" s="10"/>
      <c r="E135" s="22" t="str">
        <f>IF(OR($A135="",NOT(ISNUMBER($D135))),"",IFERROR($D135*VLOOKUP($A135,Lists!$A:$B,2,FALSE),""))</f>
        <v/>
      </c>
    </row>
    <row r="136" spans="1:5" x14ac:dyDescent="0.25">
      <c r="A136" s="8"/>
      <c r="B136" s="20" t="str">
        <f>IF($A136="","",IFERROR(VLOOKUP($A136,Lists!$A:$C,3,FALSE),"NOT ON THE LIST"))</f>
        <v/>
      </c>
      <c r="C136" s="13" t="s">
        <v>2</v>
      </c>
      <c r="D136" s="10"/>
      <c r="E136" s="22" t="str">
        <f>IF(OR($A136="",NOT(ISNUMBER($D136))),"",IFERROR($D136*VLOOKUP($A136,Lists!$A:$B,2,FALSE),""))</f>
        <v/>
      </c>
    </row>
    <row r="137" spans="1:5" x14ac:dyDescent="0.25">
      <c r="A137" s="8"/>
      <c r="B137" s="20" t="str">
        <f>IF($A137="","",IFERROR(VLOOKUP($A137,Lists!$A:$C,3,FALSE),"NOT ON THE LIST"))</f>
        <v/>
      </c>
      <c r="C137" s="13" t="s">
        <v>2</v>
      </c>
      <c r="D137" s="10"/>
      <c r="E137" s="22" t="str">
        <f>IF(OR($A137="",NOT(ISNUMBER($D137))),"",IFERROR($D137*VLOOKUP($A137,Lists!$A:$B,2,FALSE),""))</f>
        <v/>
      </c>
    </row>
    <row r="138" spans="1:5" x14ac:dyDescent="0.25">
      <c r="A138" s="8"/>
      <c r="B138" s="20" t="str">
        <f>IF($A138="","",IFERROR(VLOOKUP($A138,Lists!$A:$C,3,FALSE),"NOT ON THE LIST"))</f>
        <v/>
      </c>
      <c r="C138" s="13" t="s">
        <v>2</v>
      </c>
      <c r="D138" s="10"/>
      <c r="E138" s="22" t="str">
        <f>IF(OR($A138="",NOT(ISNUMBER($D138))),"",IFERROR($D138*VLOOKUP($A138,Lists!$A:$B,2,FALSE),""))</f>
        <v/>
      </c>
    </row>
    <row r="139" spans="1:5" x14ac:dyDescent="0.25">
      <c r="A139" s="23" t="s">
        <v>99</v>
      </c>
      <c r="B139" s="24" t="s">
        <v>2</v>
      </c>
      <c r="C139" s="24" t="s">
        <v>2</v>
      </c>
      <c r="D139" s="24" t="s">
        <v>2</v>
      </c>
      <c r="E139" s="25">
        <f>SUM($E$126:$E$138)</f>
        <v>0</v>
      </c>
    </row>
    <row r="140" spans="1:5" x14ac:dyDescent="0.25">
      <c r="A140" s="7" t="s">
        <v>100</v>
      </c>
      <c r="B140" s="8"/>
      <c r="C140" s="13" t="s">
        <v>2</v>
      </c>
      <c r="D140" s="10"/>
      <c r="E140" s="13" t="s">
        <v>2</v>
      </c>
    </row>
    <row r="141" spans="1:5" x14ac:dyDescent="0.25">
      <c r="A141" s="23" t="s">
        <v>102</v>
      </c>
      <c r="B141" s="24" t="s">
        <v>2</v>
      </c>
      <c r="C141" s="24" t="s">
        <v>2</v>
      </c>
      <c r="D141" s="24" t="s">
        <v>2</v>
      </c>
      <c r="E141" s="26" t="str">
        <f>IF(OR(NOT(ISNUMBER($D$140)),$D$140&lt;=0),"",$E$139/$D$140)</f>
        <v/>
      </c>
    </row>
    <row r="143" ht="22" customHeight="1" spans="1:5" x14ac:dyDescent="0.25">
      <c r="A143" s="17" t="s">
        <v>120</v>
      </c>
      <c r="B143" s="18"/>
      <c r="C143" s="18"/>
      <c r="D143" s="18"/>
      <c r="E143" s="18"/>
    </row>
    <row r="144" ht="18" customHeight="1" spans="1:5" x14ac:dyDescent="0.25">
      <c r="A144" s="19" t="s">
        <v>104</v>
      </c>
    </row>
    <row r="145" ht="32" customHeight="1" spans="1:5" s="5" customFormat="1" x14ac:dyDescent="0.25">
      <c r="A145" s="5" t="s">
        <v>91</v>
      </c>
      <c r="B145" s="5" t="s">
        <v>92</v>
      </c>
      <c r="C145" s="5" t="s">
        <v>105</v>
      </c>
      <c r="D145" s="5" t="s">
        <v>94</v>
      </c>
      <c r="E145" s="5" t="s">
        <v>95</v>
      </c>
    </row>
    <row r="146" spans="1:5" x14ac:dyDescent="0.25">
      <c r="A146" s="13" t="s">
        <v>58</v>
      </c>
      <c r="B146" s="20" t="str">
        <f>IF($A146="","",IFERROR(VLOOKUP($A146,Lists!$A:$C,3,FALSE),"NOT ON THE LIST"))</f>
        <v>g</v>
      </c>
      <c r="C146" s="21">
        <v>3.2</v>
      </c>
      <c r="D146" s="10"/>
      <c r="E146" s="22" t="str">
        <f>IF(OR($A146="",NOT(ISNUMBER($D146))),"",IFERROR($D146*VLOOKUP($A146,Lists!$A:$B,2,FALSE),""))</f>
        <v/>
      </c>
    </row>
    <row r="147" spans="1:5" x14ac:dyDescent="0.25">
      <c r="A147" s="13" t="s">
        <v>97</v>
      </c>
      <c r="B147" s="20" t="str">
        <f>IF($A147="","",IFERROR(VLOOKUP($A147,Lists!$A:$C,3,FALSE),"NOT ON THE LIST"))</f>
        <v>g</v>
      </c>
      <c r="C147" s="21">
        <v>4</v>
      </c>
      <c r="D147" s="10"/>
      <c r="E147" s="22" t="str">
        <f>IF(OR($A147="",NOT(ISNUMBER($D147))),"",IFERROR($D147*VLOOKUP($A147,Lists!$A:$B,2,FALSE),""))</f>
        <v/>
      </c>
    </row>
    <row r="148" spans="1:5" x14ac:dyDescent="0.25">
      <c r="A148" s="13" t="s">
        <v>66</v>
      </c>
      <c r="B148" s="20" t="str">
        <f>IF($A148="","",IFERROR(VLOOKUP($A148,Lists!$A:$C,3,FALSE),"NOT ON THE LIST"))</f>
        <v>g</v>
      </c>
      <c r="C148" s="21">
        <v>0.5</v>
      </c>
      <c r="D148" s="10"/>
      <c r="E148" s="22" t="str">
        <f>IF(OR($A148="",NOT(ISNUMBER($D148))),"",IFERROR($D148*VLOOKUP($A148,Lists!$A:$B,2,FALSE),""))</f>
        <v/>
      </c>
    </row>
    <row r="149" spans="1:5" x14ac:dyDescent="0.25">
      <c r="A149" s="13" t="s">
        <v>68</v>
      </c>
      <c r="B149" s="20" t="str">
        <f>IF($A149="","",IFERROR(VLOOKUP($A149,Lists!$A:$C,3,FALSE),"NOT ON THE LIST"))</f>
        <v>g</v>
      </c>
      <c r="C149" s="21">
        <v>0.4</v>
      </c>
      <c r="D149" s="10"/>
      <c r="E149" s="22" t="str">
        <f>IF(OR($A149="",NOT(ISNUMBER($D149))),"",IFERROR($D149*VLOOKUP($A149,Lists!$A:$B,2,FALSE),""))</f>
        <v/>
      </c>
    </row>
    <row r="150" spans="1:5" x14ac:dyDescent="0.25">
      <c r="A150" s="13" t="s">
        <v>119</v>
      </c>
      <c r="B150" s="20" t="str">
        <f>IF($A150="","",IFERROR(VLOOKUP($A150,Lists!$A:$C,3,FALSE),"NOT ON THE LIST"))</f>
        <v>g</v>
      </c>
      <c r="C150" s="21">
        <v>0.5</v>
      </c>
      <c r="D150" s="10"/>
      <c r="E150" s="22" t="str">
        <f>IF(OR($A150="",NOT(ISNUMBER($D150))),"",IFERROR($D150*VLOOKUP($A150,Lists!$A:$B,2,FALSE),""))</f>
        <v/>
      </c>
    </row>
    <row r="151" spans="1:5" x14ac:dyDescent="0.25">
      <c r="A151" s="13" t="s">
        <v>82</v>
      </c>
      <c r="B151" s="20" t="str">
        <f>IF($A151="","",IFERROR(VLOOKUP($A151,Lists!$A:$C,3,FALSE),"NOT ON THE LIST"))</f>
        <v>g</v>
      </c>
      <c r="C151" s="21">
        <v>30</v>
      </c>
      <c r="D151" s="10"/>
      <c r="E151" s="22" t="str">
        <f>IF(OR($A151="",NOT(ISNUMBER($D151))),"",IFERROR($D151*VLOOKUP($A151,Lists!$A:$B,2,FALSE),""))</f>
        <v/>
      </c>
    </row>
    <row r="152" spans="1:5" x14ac:dyDescent="0.25">
      <c r="A152" s="13" t="s">
        <v>96</v>
      </c>
      <c r="B152" s="20" t="str">
        <f>IF($A152="","",IFERROR(VLOOKUP($A152,Lists!$A:$C,3,FALSE),"NOT ON THE LIST"))</f>
        <v>g</v>
      </c>
      <c r="C152" s="21">
        <v>38</v>
      </c>
      <c r="D152" s="10"/>
      <c r="E152" s="22" t="str">
        <f>IF(OR($A152="",NOT(ISNUMBER($D152))),"",IFERROR($D152*VLOOKUP($A152,Lists!$A:$B,2,FALSE),""))</f>
        <v/>
      </c>
    </row>
    <row r="153" spans="1:5" x14ac:dyDescent="0.25">
      <c r="A153" s="13" t="s">
        <v>121</v>
      </c>
      <c r="B153" s="20" t="str">
        <f>IF($A153="","",IFERROR(VLOOKUP($A153,Lists!$A:$C,3,FALSE),"NOT ON THE LIST"))</f>
        <v>ml</v>
      </c>
      <c r="C153" s="21">
        <v>30</v>
      </c>
      <c r="D153" s="10"/>
      <c r="E153" s="22" t="str">
        <f>IF(OR($A153="",NOT(ISNUMBER($D153))),"",IFERROR($D153*VLOOKUP($A153,Lists!$A:$B,2,FALSE),""))</f>
        <v/>
      </c>
    </row>
    <row r="154" spans="1:5" x14ac:dyDescent="0.25">
      <c r="A154" s="13" t="s">
        <v>98</v>
      </c>
      <c r="B154" s="20" t="str">
        <f>IF($A154="","",IFERROR(VLOOKUP($A154,Lists!$A:$C,3,FALSE),"NOT ON THE LIST"))</f>
        <v>ml</v>
      </c>
      <c r="C154" s="21">
        <v>20</v>
      </c>
      <c r="D154" s="10"/>
      <c r="E154" s="22" t="str">
        <f>IF(OR($A154="",NOT(ISNUMBER($D154))),"",IFERROR($D154*VLOOKUP($A154,Lists!$A:$B,2,FALSE),""))</f>
        <v/>
      </c>
    </row>
    <row r="155" spans="1:5" x14ac:dyDescent="0.25">
      <c r="A155" s="8"/>
      <c r="B155" s="20" t="str">
        <f>IF($A155="","",IFERROR(VLOOKUP($A155,Lists!$A:$C,3,FALSE),"NOT ON THE LIST"))</f>
        <v/>
      </c>
      <c r="C155" s="13" t="s">
        <v>2</v>
      </c>
      <c r="D155" s="10"/>
      <c r="E155" s="22" t="str">
        <f>IF(OR($A155="",NOT(ISNUMBER($D155))),"",IFERROR($D155*VLOOKUP($A155,Lists!$A:$B,2,FALSE),""))</f>
        <v/>
      </c>
    </row>
    <row r="156" spans="1:5" x14ac:dyDescent="0.25">
      <c r="A156" s="8"/>
      <c r="B156" s="20" t="str">
        <f>IF($A156="","",IFERROR(VLOOKUP($A156,Lists!$A:$C,3,FALSE),"NOT ON THE LIST"))</f>
        <v/>
      </c>
      <c r="C156" s="13" t="s">
        <v>2</v>
      </c>
      <c r="D156" s="10"/>
      <c r="E156" s="22" t="str">
        <f>IF(OR($A156="",NOT(ISNUMBER($D156))),"",IFERROR($D156*VLOOKUP($A156,Lists!$A:$B,2,FALSE),""))</f>
        <v/>
      </c>
    </row>
    <row r="157" spans="1:5" x14ac:dyDescent="0.25">
      <c r="A157" s="8"/>
      <c r="B157" s="20" t="str">
        <f>IF($A157="","",IFERROR(VLOOKUP($A157,Lists!$A:$C,3,FALSE),"NOT ON THE LIST"))</f>
        <v/>
      </c>
      <c r="C157" s="13" t="s">
        <v>2</v>
      </c>
      <c r="D157" s="10"/>
      <c r="E157" s="22" t="str">
        <f>IF(OR($A157="",NOT(ISNUMBER($D157))),"",IFERROR($D157*VLOOKUP($A157,Lists!$A:$B,2,FALSE),""))</f>
        <v/>
      </c>
    </row>
    <row r="158" spans="1:5" x14ac:dyDescent="0.25">
      <c r="A158" s="8"/>
      <c r="B158" s="20" t="str">
        <f>IF($A158="","",IFERROR(VLOOKUP($A158,Lists!$A:$C,3,FALSE),"NOT ON THE LIST"))</f>
        <v/>
      </c>
      <c r="C158" s="13" t="s">
        <v>2</v>
      </c>
      <c r="D158" s="10"/>
      <c r="E158" s="22" t="str">
        <f>IF(OR($A158="",NOT(ISNUMBER($D158))),"",IFERROR($D158*VLOOKUP($A158,Lists!$A:$B,2,FALSE),""))</f>
        <v/>
      </c>
    </row>
    <row r="159" spans="1:5" x14ac:dyDescent="0.25">
      <c r="A159" s="8"/>
      <c r="B159" s="20" t="str">
        <f>IF($A159="","",IFERROR(VLOOKUP($A159,Lists!$A:$C,3,FALSE),"NOT ON THE LIST"))</f>
        <v/>
      </c>
      <c r="C159" s="13" t="s">
        <v>2</v>
      </c>
      <c r="D159" s="10"/>
      <c r="E159" s="22" t="str">
        <f>IF(OR($A159="",NOT(ISNUMBER($D159))),"",IFERROR($D159*VLOOKUP($A159,Lists!$A:$B,2,FALSE),""))</f>
        <v/>
      </c>
    </row>
    <row r="160" spans="1:5" x14ac:dyDescent="0.25">
      <c r="A160" s="8"/>
      <c r="B160" s="20" t="str">
        <f>IF($A160="","",IFERROR(VLOOKUP($A160,Lists!$A:$C,3,FALSE),"NOT ON THE LIST"))</f>
        <v/>
      </c>
      <c r="C160" s="13" t="s">
        <v>2</v>
      </c>
      <c r="D160" s="10"/>
      <c r="E160" s="22" t="str">
        <f>IF(OR($A160="",NOT(ISNUMBER($D160))),"",IFERROR($D160*VLOOKUP($A160,Lists!$A:$B,2,FALSE),""))</f>
        <v/>
      </c>
    </row>
    <row r="161" spans="1:5" x14ac:dyDescent="0.25">
      <c r="A161" s="23" t="s">
        <v>99</v>
      </c>
      <c r="B161" s="24" t="s">
        <v>2</v>
      </c>
      <c r="C161" s="24" t="s">
        <v>2</v>
      </c>
      <c r="D161" s="24" t="s">
        <v>2</v>
      </c>
      <c r="E161" s="25">
        <f>SUM($E$146:$E$160)</f>
        <v>0</v>
      </c>
    </row>
    <row r="162" spans="1:5" x14ac:dyDescent="0.25">
      <c r="A162" s="7" t="s">
        <v>100</v>
      </c>
      <c r="B162" s="8"/>
      <c r="C162" s="13" t="s">
        <v>2</v>
      </c>
      <c r="D162" s="10"/>
      <c r="E162" s="13" t="s">
        <v>2</v>
      </c>
    </row>
    <row r="163" spans="1:5" x14ac:dyDescent="0.25">
      <c r="A163" s="23" t="s">
        <v>102</v>
      </c>
      <c r="B163" s="24" t="s">
        <v>2</v>
      </c>
      <c r="C163" s="24" t="s">
        <v>2</v>
      </c>
      <c r="D163" s="24" t="s">
        <v>2</v>
      </c>
      <c r="E163" s="26" t="str">
        <f>IF(OR(NOT(ISNUMBER($D$162)),$D$162&lt;=0),"",$E$161/$D$162)</f>
        <v/>
      </c>
    </row>
  </sheetData>
  <sheetProtection sheet="1" formatCells="0" formatColumns="0" formatRows="0" insertRows="0" sort="0" autoFilter="0"/>
  <mergeCells count="3">
    <mergeCell ref="A1:E1"/>
    <mergeCell ref="A2:E2"/>
    <mergeCell ref="A3:E3"/>
  </mergeCells>
  <dataValidations count="16">
    <dataValidation type="list" allowBlank="1" showErrorMessage="1" errorStyle="warning" errorTitle="Not on the list" error="Pick a name from the dropdown so it matches what Clerque already has. A typed name that differs by one letter becomes a second ingredient." sqref="A100:A103">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113:A118">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133:A138">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14:A19">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155:A160">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37:A42">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54:A59">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73:A78">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A98:A103">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B105">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120">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140">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162">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44">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61">
      <formula1>"ml,g,kg,L,pc"</formula1>
    </dataValidation>
    <dataValidation type="list" allowBlank="1" showErrorMessage="1" errorStyle="warning" errorTitle="Not on the list" error="Pick a name from the dropdown so it matches what Clerque already has. A typed name that differs by one letter becomes a second ingredient." sqref="B80">
      <formula1>"ml,g,kg,L,pc"</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pane xSplit="1" ySplit="7" topLeftCell="B8" activePane="bottomRight" state="frozen"/>
      <selection pane="bottomRight"/>
    </sheetView>
  </sheetViews>
  <sheetFormatPr defaultRowHeight="15" outlineLevelRow="0" outlineLevelCol="0" x14ac:dyDescent="55"/>
  <cols>
    <col min="1" max="1" width="26" customWidth="1"/>
    <col min="2" max="2" width="12" customWidth="1"/>
    <col min="3" max="3" width="15" customWidth="1"/>
    <col min="4" max="4" width="7" customWidth="1"/>
    <col min="5" max="6" width="16" customWidth="1"/>
    <col min="7" max="7" width="24" customWidth="1"/>
    <col min="8" max="8" width="16" customWidth="1"/>
    <col min="9" max="9" width="15" customWidth="1"/>
    <col min="10" max="10" width="13" customWidth="1"/>
    <col min="11" max="12" width="15" customWidth="1"/>
    <col min="13" max="13" width="12" customWidth="1"/>
    <col min="14" max="14" width="10" customWidth="1"/>
    <col min="15" max="15" width="14" customWidth="1"/>
    <col min="16" max="16" width="46" customWidth="1"/>
  </cols>
  <sheetData>
    <row r="1" ht="24" customHeight="1" spans="1:16" x14ac:dyDescent="0.25">
      <c r="A1" s="1" t="s">
        <v>122</v>
      </c>
      <c r="B1" s="1"/>
      <c r="C1" s="1"/>
      <c r="D1" s="1"/>
      <c r="E1" s="1"/>
      <c r="F1" s="1"/>
      <c r="G1" s="1"/>
      <c r="H1" s="1"/>
      <c r="I1" s="1"/>
      <c r="J1" s="1"/>
      <c r="K1" s="1"/>
      <c r="L1" s="1"/>
      <c r="M1" s="1"/>
      <c r="N1" s="1"/>
      <c r="O1" s="1"/>
      <c r="P1" s="1"/>
    </row>
    <row r="2" ht="30" customHeight="1" spans="1:16" x14ac:dyDescent="0.25">
      <c r="A2" s="2" t="s">
        <v>123</v>
      </c>
      <c r="B2" s="2"/>
      <c r="C2" s="2"/>
      <c r="D2" s="2"/>
      <c r="E2" s="2"/>
      <c r="F2" s="2"/>
      <c r="G2" s="2"/>
      <c r="H2" s="2"/>
      <c r="I2" s="2"/>
      <c r="J2" s="2"/>
      <c r="K2" s="2"/>
      <c r="L2" s="2"/>
      <c r="M2" s="2"/>
      <c r="N2" s="2"/>
      <c r="O2" s="2"/>
      <c r="P2" s="2"/>
    </row>
    <row r="3" ht="30" customHeight="1" spans="1:16" x14ac:dyDescent="0.25">
      <c r="A3" s="2" t="s">
        <v>124</v>
      </c>
      <c r="B3" s="2"/>
      <c r="C3" s="2"/>
      <c r="D3" s="2"/>
      <c r="E3" s="2"/>
      <c r="F3" s="2"/>
      <c r="G3" s="2"/>
      <c r="H3" s="2"/>
      <c r="I3" s="2"/>
      <c r="J3" s="2"/>
      <c r="K3" s="2"/>
      <c r="L3" s="2"/>
      <c r="M3" s="2"/>
      <c r="N3" s="2"/>
      <c r="O3" s="2"/>
      <c r="P3" s="2"/>
    </row>
    <row r="4" ht="26" customHeight="1" spans="1:16" x14ac:dyDescent="0.25">
      <c r="A4" s="2" t="s">
        <v>125</v>
      </c>
      <c r="B4" s="2"/>
      <c r="C4" s="2"/>
      <c r="D4" s="2"/>
      <c r="E4" s="2"/>
      <c r="F4" s="2"/>
      <c r="G4" s="2"/>
      <c r="H4" s="2"/>
      <c r="I4" s="2"/>
      <c r="J4" s="2"/>
      <c r="K4" s="2"/>
      <c r="L4" s="2"/>
      <c r="M4" s="2"/>
      <c r="N4" s="2"/>
      <c r="O4" s="2"/>
      <c r="P4" s="2"/>
    </row>
    <row r="6" ht="32" customHeight="1" spans="1:16" s="5" customFormat="1" x14ac:dyDescent="0.25">
      <c r="A6" s="5" t="s">
        <v>126</v>
      </c>
      <c r="B6" s="5" t="s">
        <v>127</v>
      </c>
      <c r="C6" s="5" t="s">
        <v>128</v>
      </c>
      <c r="D6" s="5" t="s">
        <v>129</v>
      </c>
      <c r="E6" s="5" t="s">
        <v>130</v>
      </c>
      <c r="F6" s="5" t="s">
        <v>131</v>
      </c>
      <c r="G6" s="5" t="s">
        <v>132</v>
      </c>
      <c r="H6" s="5" t="s">
        <v>133</v>
      </c>
      <c r="I6" s="5" t="s">
        <v>129</v>
      </c>
      <c r="J6" s="5" t="s">
        <v>134</v>
      </c>
      <c r="K6" s="5" t="s">
        <v>135</v>
      </c>
      <c r="L6" s="5" t="s">
        <v>136</v>
      </c>
      <c r="M6" s="5" t="s">
        <v>137</v>
      </c>
      <c r="N6" s="5" t="s">
        <v>138</v>
      </c>
      <c r="O6" s="5" t="s">
        <v>139</v>
      </c>
      <c r="P6" s="5" t="s">
        <v>44</v>
      </c>
    </row>
    <row r="7" ht="34" customHeight="1" spans="1:16" s="6" customFormat="1" x14ac:dyDescent="0.25">
      <c r="A7" s="6" t="s">
        <v>2</v>
      </c>
      <c r="B7" s="6" t="s">
        <v>140</v>
      </c>
      <c r="C7" s="6" t="s">
        <v>141</v>
      </c>
      <c r="D7" s="6" t="s">
        <v>2</v>
      </c>
      <c r="E7" s="6" t="s">
        <v>142</v>
      </c>
      <c r="F7" s="6" t="s">
        <v>143</v>
      </c>
      <c r="G7" s="6" t="s">
        <v>144</v>
      </c>
      <c r="H7" s="6" t="s">
        <v>145</v>
      </c>
      <c r="I7" s="6" t="s">
        <v>2</v>
      </c>
      <c r="J7" s="6" t="s">
        <v>2</v>
      </c>
      <c r="K7" s="6" t="s">
        <v>2</v>
      </c>
      <c r="L7" s="6" t="s">
        <v>2</v>
      </c>
      <c r="M7" s="6" t="s">
        <v>2</v>
      </c>
      <c r="N7" s="6" t="s">
        <v>2</v>
      </c>
      <c r="O7" s="6" t="s">
        <v>146</v>
      </c>
      <c r="P7" s="6" t="s">
        <v>147</v>
      </c>
    </row>
    <row r="8" spans="1:16" x14ac:dyDescent="0.25">
      <c r="A8" s="7" t="s">
        <v>148</v>
      </c>
      <c r="B8" s="27">
        <v>150</v>
      </c>
      <c r="C8" s="10"/>
      <c r="D8" s="20" t="str">
        <f>IF('Sauce Batches'!$B$44="","",'Sauce Batches'!$B$44)</f>
        <v/>
      </c>
      <c r="E8" s="28"/>
      <c r="F8" s="29" t="str">
        <f>IF(ISNUMBER($C8),$C8,IF(AND(ISNUMBER($E8),$E8&gt;0,ISNUMBER('Sauce Batches'!$D$44)),'Sauce Batches'!$D$44/$E8,""))</f>
        <v/>
      </c>
      <c r="G8" s="8" t="s">
        <v>149</v>
      </c>
      <c r="H8" s="10">
        <v>2</v>
      </c>
      <c r="I8" s="20" t="str">
        <f>IF($G8="","",IFERROR(VLOOKUP($G8,Lists!$A:$C,3,FALSE),"NOT ON THE LIST"))</f>
        <v>pc</v>
      </c>
      <c r="J8" s="22" t="str">
        <f>IF(OR(NOT(ISNUMBER($F8)),NOT(ISNUMBER('Sauce Batches'!$E$45))),"",$F8*'Sauce Batches'!$E$45)</f>
        <v/>
      </c>
      <c r="K8" s="22">
        <f>IF(OR($G8="",NOT(ISNUMBER($H8))),"",IFERROR($H8*VLOOKUP($G8,Lists!$A:$B,2,FALSE),""))</f>
        <v>22.0252</v>
      </c>
      <c r="L8" s="25">
        <f>IF(AND($J8="",$K8=""),"",N($J8)+N($K8))</f>
        <v>22.03</v>
      </c>
      <c r="M8" s="22">
        <f>IF($L8="","",$B8-$L8)</f>
        <v>127.97</v>
      </c>
      <c r="N8" s="30">
        <f>IF(OR($L8="",$B8=0),"",($B8-$L8)/$B8)</f>
        <v>0.8531653333333333</v>
      </c>
      <c r="O8" s="31" t="str">
        <f>IF(OR(NOT(ISNUMBER($F8)),$F8&lt;=0,NOT(ISNUMBER('Sauce Batches'!$D$44))),"",'Sauce Batches'!$D$44/$F8)</f>
        <v/>
      </c>
      <c r="P8" s="15" t="str">
        <f>IF($G8="","",IF(SUMPRODUCT(('Sauce Batches'!$A$27:$A$42=$G8)*(ISNUMBER('Sauce Batches'!$D$27:$D$42)))&gt;0,"This is also in the pot above - it would be paid for twice",""))</f>
        <v/>
      </c>
    </row>
    <row r="9" spans="1:16" x14ac:dyDescent="0.25">
      <c r="A9" s="7" t="s">
        <v>150</v>
      </c>
      <c r="B9" s="27">
        <v>150</v>
      </c>
      <c r="C9" s="10"/>
      <c r="D9" s="20" t="str">
        <f>IF('Sauce Batches'!$B$61="","",'Sauce Batches'!$B$61)</f>
        <v/>
      </c>
      <c r="E9" s="28"/>
      <c r="F9" s="29" t="str">
        <f>IF(ISNUMBER($C9),$C9,IF(AND(ISNUMBER($E9),$E9&gt;0,ISNUMBER('Sauce Batches'!$D$61)),'Sauce Batches'!$D$61/$E9,""))</f>
        <v/>
      </c>
      <c r="G9" s="8"/>
      <c r="H9" s="10"/>
      <c r="I9" s="20" t="str">
        <f>IF($G9="","",IFERROR(VLOOKUP($G9,Lists!$A:$C,3,FALSE),"NOT ON THE LIST"))</f>
        <v/>
      </c>
      <c r="J9" s="22" t="str">
        <f>IF(OR(NOT(ISNUMBER($F9)),NOT(ISNUMBER('Sauce Batches'!$E$62))),"",$F9*'Sauce Batches'!$E$62)</f>
        <v/>
      </c>
      <c r="K9" s="22" t="str">
        <f>IF(OR($G9="",NOT(ISNUMBER($H9))),"",IFERROR($H9*VLOOKUP($G9,Lists!$A:$B,2,FALSE),""))</f>
        <v/>
      </c>
      <c r="L9" s="25" t="str">
        <f>IF(AND($J9="",$K9=""),"",N($J9)+N($K9))</f>
        <v/>
      </c>
      <c r="M9" s="22" t="str">
        <f>IF($L9="","",$B9-$L9)</f>
        <v/>
      </c>
      <c r="N9" s="30" t="str">
        <f>IF(OR($L9="",$B9=0),"",($B9-$L9)/$B9)</f>
        <v/>
      </c>
      <c r="O9" s="31" t="str">
        <f>IF(OR(NOT(ISNUMBER($F9)),$F9&lt;=0,NOT(ISNUMBER('Sauce Batches'!$D$61))),"",'Sauce Batches'!$D$61/$F9)</f>
        <v/>
      </c>
      <c r="P9" s="15" t="str">
        <f>IF($G9="","",IF(SUMPRODUCT(('Sauce Batches'!$A$50:$A$59=$G9)*(ISNUMBER('Sauce Batches'!$D$50:$D$59)))&gt;0,"This is also in the pot above - it would be paid for twice",""))</f>
        <v/>
      </c>
    </row>
    <row r="10" spans="1:16" x14ac:dyDescent="0.25">
      <c r="A10" s="7" t="s">
        <v>151</v>
      </c>
      <c r="B10" s="27">
        <v>150</v>
      </c>
      <c r="C10" s="10"/>
      <c r="D10" s="20" t="str">
        <f>IF('Sauce Batches'!$B$80="","",'Sauce Batches'!$B$80)</f>
        <v/>
      </c>
      <c r="E10" s="28"/>
      <c r="F10" s="29" t="str">
        <f>IF(ISNUMBER($C10),$C10,IF(AND(ISNUMBER($E10),$E10&gt;0,ISNUMBER('Sauce Batches'!$D$80)),'Sauce Batches'!$D$80/$E10,""))</f>
        <v/>
      </c>
      <c r="G10" s="8"/>
      <c r="H10" s="10"/>
      <c r="I10" s="20" t="str">
        <f>IF($G10="","",IFERROR(VLOOKUP($G10,Lists!$A:$C,3,FALSE),"NOT ON THE LIST"))</f>
        <v/>
      </c>
      <c r="J10" s="22" t="str">
        <f>IF(OR(NOT(ISNUMBER($F10)),NOT(ISNUMBER('Sauce Batches'!$E$81))),"",$F10*'Sauce Batches'!$E$81)</f>
        <v/>
      </c>
      <c r="K10" s="22" t="str">
        <f>IF(OR($G10="",NOT(ISNUMBER($H10))),"",IFERROR($H10*VLOOKUP($G10,Lists!$A:$B,2,FALSE),""))</f>
        <v/>
      </c>
      <c r="L10" s="25" t="str">
        <f>IF(AND($J10="",$K10=""),"",N($J10)+N($K10))</f>
        <v/>
      </c>
      <c r="M10" s="22" t="str">
        <f>IF($L10="","",$B10-$L10)</f>
        <v/>
      </c>
      <c r="N10" s="30" t="str">
        <f>IF(OR($L10="",$B10=0),"",($B10-$L10)/$B10)</f>
        <v/>
      </c>
      <c r="O10" s="31" t="str">
        <f>IF(OR(NOT(ISNUMBER($F10)),$F10&lt;=0,NOT(ISNUMBER('Sauce Batches'!$D$80))),"",'Sauce Batches'!$D$80/$F10)</f>
        <v/>
      </c>
      <c r="P10" s="15" t="str">
        <f>IF($G10="","",IF(SUMPRODUCT(('Sauce Batches'!$A$67:$A$78=$G10)*(ISNUMBER('Sauce Batches'!$D$67:$D$78)))&gt;0,"This is also in the pot above - it would be paid for twice",""))</f>
        <v/>
      </c>
    </row>
    <row r="11" spans="1:16" x14ac:dyDescent="0.25">
      <c r="A11" s="7" t="s">
        <v>152</v>
      </c>
      <c r="B11" s="27">
        <v>175</v>
      </c>
      <c r="C11" s="10"/>
      <c r="D11" s="20" t="str">
        <f>IF('Sauce Batches'!$B$105="","",'Sauce Batches'!$B$105)</f>
        <v/>
      </c>
      <c r="E11" s="28"/>
      <c r="F11" s="29" t="str">
        <f>IF(ISNUMBER($C11),$C11,IF(AND(ISNUMBER($E11),$E11&gt;0,ISNUMBER('Sauce Batches'!$D$105)),'Sauce Batches'!$D$105/$E11,""))</f>
        <v/>
      </c>
      <c r="G11" s="8" t="s">
        <v>149</v>
      </c>
      <c r="H11" s="10">
        <v>2</v>
      </c>
      <c r="I11" s="20" t="str">
        <f>IF($G11="","",IFERROR(VLOOKUP($G11,Lists!$A:$C,3,FALSE),"NOT ON THE LIST"))</f>
        <v>pc</v>
      </c>
      <c r="J11" s="22" t="str">
        <f>IF(OR(NOT(ISNUMBER($F11)),NOT(ISNUMBER('Sauce Batches'!$E$106))),"",$F11*'Sauce Batches'!$E$106)</f>
        <v/>
      </c>
      <c r="K11" s="22">
        <f>IF(OR($G11="",NOT(ISNUMBER($H11))),"",IFERROR($H11*VLOOKUP($G11,Lists!$A:$B,2,FALSE),""))</f>
        <v>22.0252</v>
      </c>
      <c r="L11" s="25">
        <f>IF(AND($J11="",$K11=""),"",N($J11)+N($K11))</f>
        <v>22.03</v>
      </c>
      <c r="M11" s="22">
        <f>IF($L11="","",$B11-$L11)</f>
        <v>152.97</v>
      </c>
      <c r="N11" s="30">
        <f>IF(OR($L11="",$B11=0),"",($B11-$L11)/$B11)</f>
        <v>0.8741417142857142</v>
      </c>
      <c r="O11" s="31" t="str">
        <f>IF(OR(NOT(ISNUMBER($F11)),$F11&lt;=0,NOT(ISNUMBER('Sauce Batches'!$D$105))),"",'Sauce Batches'!$D$105/$F11)</f>
        <v/>
      </c>
      <c r="P11" s="15" t="str">
        <f>IF($G11="","",IF(SUMPRODUCT(('Sauce Batches'!$A$86:$A$103=$G11)*(ISNUMBER('Sauce Batches'!$D$86:$D$103)))&gt;0,"This is also in the pot above - it would be paid for twice",""))</f>
        <v/>
      </c>
    </row>
    <row r="12" spans="1:16" x14ac:dyDescent="0.25">
      <c r="A12" s="7" t="s">
        <v>153</v>
      </c>
      <c r="B12" s="27">
        <v>150</v>
      </c>
      <c r="C12" s="10"/>
      <c r="D12" s="20" t="str">
        <f>IF('Sauce Batches'!$B$120="","",'Sauce Batches'!$B$120)</f>
        <v/>
      </c>
      <c r="E12" s="28"/>
      <c r="F12" s="29" t="str">
        <f>IF(ISNUMBER($C12),$C12,IF(AND(ISNUMBER($E12),$E12&gt;0,ISNUMBER('Sauce Batches'!$D$120)),'Sauce Batches'!$D$120/$E12,""))</f>
        <v/>
      </c>
      <c r="G12" s="8"/>
      <c r="H12" s="10"/>
      <c r="I12" s="20" t="str">
        <f>IF($G12="","",IFERROR(VLOOKUP($G12,Lists!$A:$C,3,FALSE),"NOT ON THE LIST"))</f>
        <v/>
      </c>
      <c r="J12" s="22" t="str">
        <f>IF(OR(NOT(ISNUMBER($F12)),NOT(ISNUMBER('Sauce Batches'!$E$121))),"",$F12*'Sauce Batches'!$E$121)</f>
        <v/>
      </c>
      <c r="K12" s="22" t="str">
        <f>IF(OR($G12="",NOT(ISNUMBER($H12))),"",IFERROR($H12*VLOOKUP($G12,Lists!$A:$B,2,FALSE),""))</f>
        <v/>
      </c>
      <c r="L12" s="25" t="str">
        <f>IF(AND($J12="",$K12=""),"",N($J12)+N($K12))</f>
        <v/>
      </c>
      <c r="M12" s="22" t="str">
        <f>IF($L12="","",$B12-$L12)</f>
        <v/>
      </c>
      <c r="N12" s="30" t="str">
        <f>IF(OR($L12="",$B12=0),"",($B12-$L12)/$B12)</f>
        <v/>
      </c>
      <c r="O12" s="31" t="str">
        <f>IF(OR(NOT(ISNUMBER($F12)),$F12&lt;=0,NOT(ISNUMBER('Sauce Batches'!$D$120))),"",'Sauce Batches'!$D$120/$F12)</f>
        <v/>
      </c>
      <c r="P12" s="15" t="str">
        <f>IF($G12="","",IF(SUMPRODUCT(('Sauce Batches'!$A$111:$A$118=$G12)*(ISNUMBER('Sauce Batches'!$D$111:$D$118)))&gt;0,"This is also in the pot above - it would be paid for twice",""))</f>
        <v/>
      </c>
    </row>
    <row r="13" spans="1:16" x14ac:dyDescent="0.25">
      <c r="A13" s="7" t="s">
        <v>154</v>
      </c>
      <c r="B13" s="27">
        <v>150</v>
      </c>
      <c r="C13" s="10"/>
      <c r="D13" s="20" t="str">
        <f>IF('Sauce Batches'!$B$140="","",'Sauce Batches'!$B$140)</f>
        <v/>
      </c>
      <c r="E13" s="28"/>
      <c r="F13" s="29" t="str">
        <f>IF(ISNUMBER($C13),$C13,IF(AND(ISNUMBER($E13),$E13&gt;0,ISNUMBER('Sauce Batches'!$D$140)),'Sauce Batches'!$D$140/$E13,""))</f>
        <v/>
      </c>
      <c r="G13" s="8"/>
      <c r="H13" s="10"/>
      <c r="I13" s="20" t="str">
        <f>IF($G13="","",IFERROR(VLOOKUP($G13,Lists!$A:$C,3,FALSE),"NOT ON THE LIST"))</f>
        <v/>
      </c>
      <c r="J13" s="22" t="str">
        <f>IF(OR(NOT(ISNUMBER($F13)),NOT(ISNUMBER('Sauce Batches'!$E$141))),"",$F13*'Sauce Batches'!$E$141)</f>
        <v/>
      </c>
      <c r="K13" s="22" t="str">
        <f>IF(OR($G13="",NOT(ISNUMBER($H13))),"",IFERROR($H13*VLOOKUP($G13,Lists!$A:$B,2,FALSE),""))</f>
        <v/>
      </c>
      <c r="L13" s="25" t="str">
        <f>IF(AND($J13="",$K13=""),"",N($J13)+N($K13))</f>
        <v/>
      </c>
      <c r="M13" s="22" t="str">
        <f>IF($L13="","",$B13-$L13)</f>
        <v/>
      </c>
      <c r="N13" s="30" t="str">
        <f>IF(OR($L13="",$B13=0),"",($B13-$L13)/$B13)</f>
        <v/>
      </c>
      <c r="O13" s="31" t="str">
        <f>IF(OR(NOT(ISNUMBER($F13)),$F13&lt;=0,NOT(ISNUMBER('Sauce Batches'!$D$140))),"",'Sauce Batches'!$D$140/$F13)</f>
        <v/>
      </c>
      <c r="P13" s="15" t="str">
        <f>IF($G13="","",IF(SUMPRODUCT(('Sauce Batches'!$A$126:$A$138=$G13)*(ISNUMBER('Sauce Batches'!$D$126:$D$138)))&gt;0,"This is also in the pot above - it would be paid for twice",""))</f>
        <v/>
      </c>
    </row>
    <row r="14" spans="1:16" x14ac:dyDescent="0.25">
      <c r="A14" s="7" t="s">
        <v>155</v>
      </c>
      <c r="B14" s="27">
        <v>150</v>
      </c>
      <c r="C14" s="10"/>
      <c r="D14" s="20" t="str">
        <f>IF('Sauce Batches'!$B$162="","",'Sauce Batches'!$B$162)</f>
        <v/>
      </c>
      <c r="E14" s="28"/>
      <c r="F14" s="29" t="str">
        <f>IF(ISNUMBER($C14),$C14,IF(AND(ISNUMBER($E14),$E14&gt;0,ISNUMBER('Sauce Batches'!$D$162)),'Sauce Batches'!$D$162/$E14,""))</f>
        <v/>
      </c>
      <c r="G14" s="8"/>
      <c r="H14" s="10"/>
      <c r="I14" s="20" t="str">
        <f>IF($G14="","",IFERROR(VLOOKUP($G14,Lists!$A:$C,3,FALSE),"NOT ON THE LIST"))</f>
        <v/>
      </c>
      <c r="J14" s="22" t="str">
        <f>IF(OR(NOT(ISNUMBER($F14)),NOT(ISNUMBER('Sauce Batches'!$E$163))),"",$F14*'Sauce Batches'!$E$163)</f>
        <v/>
      </c>
      <c r="K14" s="22" t="str">
        <f>IF(OR($G14="",NOT(ISNUMBER($H14))),"",IFERROR($H14*VLOOKUP($G14,Lists!$A:$B,2,FALSE),""))</f>
        <v/>
      </c>
      <c r="L14" s="25" t="str">
        <f>IF(AND($J14="",$K14=""),"",N($J14)+N($K14))</f>
        <v/>
      </c>
      <c r="M14" s="22" t="str">
        <f>IF($L14="","",$B14-$L14)</f>
        <v/>
      </c>
      <c r="N14" s="30" t="str">
        <f>IF(OR($L14="",$B14=0),"",($B14-$L14)/$B14)</f>
        <v/>
      </c>
      <c r="O14" s="31" t="str">
        <f>IF(OR(NOT(ISNUMBER($F14)),$F14&lt;=0,NOT(ISNUMBER('Sauce Batches'!$D$162))),"",'Sauce Batches'!$D$162/$F14)</f>
        <v/>
      </c>
      <c r="P14" s="15" t="str">
        <f>IF($G14="","",IF(SUMPRODUCT(('Sauce Batches'!$A$146:$A$160=$G14)*(ISNUMBER('Sauce Batches'!$D$146:$D$160)))&gt;0,"This is also in the pot above - it would be paid for twice",""))</f>
        <v/>
      </c>
    </row>
  </sheetData>
  <sheetProtection sheet="1" formatCells="0" formatColumns="0" formatRows="0" insertRows="0" sort="0" autoFilter="0"/>
  <mergeCells count="4">
    <mergeCell ref="A1:P1"/>
    <mergeCell ref="A2:P2"/>
    <mergeCell ref="A3:P3"/>
    <mergeCell ref="A4:P4"/>
  </mergeCells>
  <dataValidations count="2">
    <dataValidation type="list" allowBlank="1" showErrorMessage="1" errorStyle="warning" errorTitle="Not on the list" error="Pick a name from the dropdown so it matches what Clerque already has. A typed name that differs by one letter becomes a second ingredient." sqref="G10:G14">
      <formula1>Lists!$A$2:$A$362</formula1>
    </dataValidation>
    <dataValidation type="list" allowBlank="1" showErrorMessage="1" errorStyle="warning" errorTitle="Not on the list" error="Pick a name from the dropdown so it matches what Clerque already has. A typed name that differs by one letter becomes a second ingredient." sqref="G8:G14">
      <formula1>Lists!$A$2:$A$362</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26" customWidth="1"/>
    <col min="2" max="2" width="14" customWidth="1"/>
    <col min="3" max="3" width="15" customWidth="1"/>
    <col min="4" max="4" width="13" customWidth="1"/>
    <col min="5" max="5" width="10" customWidth="1"/>
    <col min="6" max="6" width="15" customWidth="1"/>
  </cols>
  <sheetData>
    <row r="1" ht="24" customHeight="1" spans="1:6" x14ac:dyDescent="0.25">
      <c r="A1" s="1" t="s">
        <v>156</v>
      </c>
      <c r="B1" s="1"/>
      <c r="C1" s="1"/>
      <c r="D1" s="1"/>
      <c r="E1" s="1"/>
      <c r="F1" s="1"/>
    </row>
    <row r="2" ht="18" customHeight="1" spans="1:6" x14ac:dyDescent="0.25">
      <c r="A2" s="2" t="s">
        <v>157</v>
      </c>
      <c r="B2" s="2"/>
      <c r="C2" s="2"/>
      <c r="D2" s="2"/>
      <c r="E2" s="2"/>
      <c r="F2" s="2"/>
    </row>
    <row r="4" spans="1:3" x14ac:dyDescent="0.25">
      <c r="A4" s="7" t="s">
        <v>158</v>
      </c>
      <c r="B4" s="32">
        <f>COUNTBLANK(Ingredients!$C$8:$C$25)</f>
        <v>18</v>
      </c>
      <c r="C4" s="33" t="s">
        <v>159</v>
      </c>
    </row>
    <row r="5" spans="1:3" x14ac:dyDescent="0.25">
      <c r="A5" s="7" t="s">
        <v>160</v>
      </c>
      <c r="B5" s="34" t="str">
        <f>IF(COUNT('On the Plate'!$N$8:$N$14)=0,"-",INDEX('On the Plate'!$A$8:$A$14,MATCH(MIN('On the Plate'!$N$8:$N$14),'On the Plate'!$N$8:$N$14,0)))</f>
        <v>-</v>
      </c>
      <c r="C5" s="33" t="s">
        <v>161</v>
      </c>
    </row>
    <row r="6" spans="1:2" x14ac:dyDescent="0.25">
      <c r="A6" s="7" t="s">
        <v>162</v>
      </c>
      <c r="B6" s="34" t="str">
        <f>IF(COUNT('On the Plate'!$N$8:$N$14)=0,"-",INDEX('On the Plate'!$A$8:$A$14,MATCH(MAX('On the Plate'!$N$8:$N$14),'On the Plate'!$N$8:$N$14,0)))</f>
        <v>-</v>
      </c>
    </row>
    <row r="8" ht="32" customHeight="1" spans="1:6" s="5" customFormat="1" x14ac:dyDescent="0.25">
      <c r="A8" s="5" t="s">
        <v>126</v>
      </c>
      <c r="B8" s="5" t="s">
        <v>127</v>
      </c>
      <c r="C8" s="5" t="s">
        <v>163</v>
      </c>
      <c r="D8" s="5" t="s">
        <v>164</v>
      </c>
      <c r="E8" s="5" t="s">
        <v>165</v>
      </c>
      <c r="F8" s="5" t="s">
        <v>166</v>
      </c>
    </row>
    <row r="9" spans="1:6" x14ac:dyDescent="0.25">
      <c r="A9" s="34" t="str">
        <f>'On the Plate'!$A$8</f>
        <v/>
      </c>
      <c r="B9" s="22" t="str">
        <f>'On the Plate'!$B$8</f>
        <v/>
      </c>
      <c r="C9" s="22" t="str">
        <f>IF('On the Plate'!$L$8="","",'On the Plate'!$L$8)</f>
        <v/>
      </c>
      <c r="D9" s="22" t="str">
        <f>IF('On the Plate'!$M$8="","",'On the Plate'!$M$8)</f>
        <v/>
      </c>
      <c r="E9" s="30" t="str">
        <f>IF('On the Plate'!$N$8="","",'On the Plate'!$N$8)</f>
        <v/>
      </c>
      <c r="F9" s="31" t="str">
        <f>IF('On the Plate'!$O$8="","",'On the Plate'!$O$8)</f>
        <v/>
      </c>
    </row>
    <row r="10" spans="1:6" x14ac:dyDescent="0.25">
      <c r="A10" s="34" t="str">
        <f>'On the Plate'!$A$9</f>
        <v/>
      </c>
      <c r="B10" s="22" t="str">
        <f>'On the Plate'!$B$9</f>
        <v/>
      </c>
      <c r="C10" s="22" t="str">
        <f>IF('On the Plate'!$L$9="","",'On the Plate'!$L$9)</f>
        <v/>
      </c>
      <c r="D10" s="22" t="str">
        <f>IF('On the Plate'!$M$9="","",'On the Plate'!$M$9)</f>
        <v/>
      </c>
      <c r="E10" s="30" t="str">
        <f>IF('On the Plate'!$N$9="","",'On the Plate'!$N$9)</f>
        <v/>
      </c>
      <c r="F10" s="31" t="str">
        <f>IF('On the Plate'!$O$9="","",'On the Plate'!$O$9)</f>
        <v/>
      </c>
    </row>
    <row r="11" spans="1:6" x14ac:dyDescent="0.25">
      <c r="A11" s="34" t="str">
        <f>'On the Plate'!$A$10</f>
        <v/>
      </c>
      <c r="B11" s="22" t="str">
        <f>'On the Plate'!$B$10</f>
        <v/>
      </c>
      <c r="C11" s="22" t="str">
        <f>IF('On the Plate'!$L$10="","",'On the Plate'!$L$10)</f>
        <v/>
      </c>
      <c r="D11" s="22" t="str">
        <f>IF('On the Plate'!$M$10="","",'On the Plate'!$M$10)</f>
        <v/>
      </c>
      <c r="E11" s="30" t="str">
        <f>IF('On the Plate'!$N$10="","",'On the Plate'!$N$10)</f>
        <v/>
      </c>
      <c r="F11" s="31" t="str">
        <f>IF('On the Plate'!$O$10="","",'On the Plate'!$O$10)</f>
        <v/>
      </c>
    </row>
    <row r="12" spans="1:6" x14ac:dyDescent="0.25">
      <c r="A12" s="34" t="str">
        <f>'On the Plate'!$A$11</f>
        <v/>
      </c>
      <c r="B12" s="22" t="str">
        <f>'On the Plate'!$B$11</f>
        <v/>
      </c>
      <c r="C12" s="22" t="str">
        <f>IF('On the Plate'!$L$11="","",'On the Plate'!$L$11)</f>
        <v/>
      </c>
      <c r="D12" s="22" t="str">
        <f>IF('On the Plate'!$M$11="","",'On the Plate'!$M$11)</f>
        <v/>
      </c>
      <c r="E12" s="30" t="str">
        <f>IF('On the Plate'!$N$11="","",'On the Plate'!$N$11)</f>
        <v/>
      </c>
      <c r="F12" s="31" t="str">
        <f>IF('On the Plate'!$O$11="","",'On the Plate'!$O$11)</f>
        <v/>
      </c>
    </row>
    <row r="13" spans="1:6" x14ac:dyDescent="0.25">
      <c r="A13" s="34" t="str">
        <f>'On the Plate'!$A$12</f>
        <v/>
      </c>
      <c r="B13" s="22" t="str">
        <f>'On the Plate'!$B$12</f>
        <v/>
      </c>
      <c r="C13" s="22" t="str">
        <f>IF('On the Plate'!$L$12="","",'On the Plate'!$L$12)</f>
        <v/>
      </c>
      <c r="D13" s="22" t="str">
        <f>IF('On the Plate'!$M$12="","",'On the Plate'!$M$12)</f>
        <v/>
      </c>
      <c r="E13" s="30" t="str">
        <f>IF('On the Plate'!$N$12="","",'On the Plate'!$N$12)</f>
        <v/>
      </c>
      <c r="F13" s="31" t="str">
        <f>IF('On the Plate'!$O$12="","",'On the Plate'!$O$12)</f>
        <v/>
      </c>
    </row>
    <row r="14" spans="1:6" x14ac:dyDescent="0.25">
      <c r="A14" s="34" t="str">
        <f>'On the Plate'!$A$13</f>
        <v/>
      </c>
      <c r="B14" s="22" t="str">
        <f>'On the Plate'!$B$13</f>
        <v/>
      </c>
      <c r="C14" s="22" t="str">
        <f>IF('On the Plate'!$L$13="","",'On the Plate'!$L$13)</f>
        <v/>
      </c>
      <c r="D14" s="22" t="str">
        <f>IF('On the Plate'!$M$13="","",'On the Plate'!$M$13)</f>
        <v/>
      </c>
      <c r="E14" s="30" t="str">
        <f>IF('On the Plate'!$N$13="","",'On the Plate'!$N$13)</f>
        <v/>
      </c>
      <c r="F14" s="31" t="str">
        <f>IF('On the Plate'!$O$13="","",'On the Plate'!$O$13)</f>
        <v/>
      </c>
    </row>
    <row r="15" spans="1:6" x14ac:dyDescent="0.25">
      <c r="A15" s="34" t="str">
        <f>'On the Plate'!$A$14</f>
        <v/>
      </c>
      <c r="B15" s="22" t="str">
        <f>'On the Plate'!$B$14</f>
        <v/>
      </c>
      <c r="C15" s="22" t="str">
        <f>IF('On the Plate'!$L$14="","",'On the Plate'!$L$14)</f>
        <v/>
      </c>
      <c r="D15" s="22" t="str">
        <f>IF('On the Plate'!$M$14="","",'On the Plate'!$M$14)</f>
        <v/>
      </c>
      <c r="E15" s="30" t="str">
        <f>IF('On the Plate'!$N$14="","",'On the Plate'!$N$14)</f>
        <v/>
      </c>
      <c r="F15" s="31" t="str">
        <f>IF('On the Plate'!$O$14="","",'On the Plate'!$O$14)</f>
        <v/>
      </c>
    </row>
  </sheetData>
  <sheetProtection sheet="1" formatCells="0" formatColumns="0" formatRows="0" insertRows="0" sort="0" autoFilter="0"/>
  <mergeCells count="2">
    <mergeCell ref="A1:F1"/>
    <mergeCell ref="A2:F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2"/>
  <sheetFormatPr defaultRowHeight="15" outlineLevelRow="0" outlineLevelCol="0" x14ac:dyDescent="55"/>
  <cols>
    <col min="1" max="1" width="34" customWidth="1"/>
    <col min="2" max="2" width="20" customWidth="1"/>
  </cols>
  <sheetData>
    <row r="1" spans="1:7" s="35" customFormat="1" x14ac:dyDescent="0.25">
      <c r="A1" s="35" t="s">
        <v>91</v>
      </c>
      <c r="B1" s="35" t="s">
        <v>167</v>
      </c>
      <c r="C1" s="35" t="s">
        <v>168</v>
      </c>
      <c r="E1" s="35" t="s">
        <v>129</v>
      </c>
      <c r="F1" s="35" t="s">
        <v>169</v>
      </c>
      <c r="G1" s="35" t="s">
        <v>170</v>
      </c>
    </row>
    <row r="2" spans="1:7" x14ac:dyDescent="0.25">
      <c r="A2" t="s">
        <v>171</v>
      </c>
      <c r="B2" s="36">
        <v>0.2048</v>
      </c>
      <c r="C2" t="s">
        <v>57</v>
      </c>
      <c r="E2" t="s">
        <v>172</v>
      </c>
      <c r="F2" t="s">
        <v>173</v>
      </c>
      <c r="G2">
        <v>0.001</v>
      </c>
    </row>
    <row r="3" spans="1:7" x14ac:dyDescent="0.25">
      <c r="A3" t="s">
        <v>174</v>
      </c>
      <c r="B3" s="36">
        <v>1.486</v>
      </c>
      <c r="C3" t="s">
        <v>101</v>
      </c>
      <c r="E3" t="s">
        <v>57</v>
      </c>
      <c r="F3" t="s">
        <v>173</v>
      </c>
      <c r="G3">
        <v>1</v>
      </c>
    </row>
    <row r="4" spans="1:7" x14ac:dyDescent="0.25">
      <c r="A4" t="s">
        <v>175</v>
      </c>
      <c r="B4" s="36">
        <v>148.0734</v>
      </c>
      <c r="C4" t="s">
        <v>176</v>
      </c>
      <c r="E4" t="s">
        <v>176</v>
      </c>
      <c r="F4" t="s">
        <v>173</v>
      </c>
      <c r="G4">
        <v>1000</v>
      </c>
    </row>
    <row r="5" spans="1:7" x14ac:dyDescent="0.25">
      <c r="A5" t="s">
        <v>177</v>
      </c>
      <c r="B5" s="36">
        <v>0.1518</v>
      </c>
      <c r="C5" t="s">
        <v>101</v>
      </c>
      <c r="E5" t="s">
        <v>178</v>
      </c>
      <c r="F5" t="s">
        <v>173</v>
      </c>
      <c r="G5">
        <v>28.349523125</v>
      </c>
    </row>
    <row r="6" spans="1:7" x14ac:dyDescent="0.25">
      <c r="A6" t="s">
        <v>179</v>
      </c>
      <c r="B6" s="36">
        <v>55</v>
      </c>
      <c r="C6" t="s">
        <v>176</v>
      </c>
      <c r="E6" t="s">
        <v>180</v>
      </c>
      <c r="F6" t="s">
        <v>173</v>
      </c>
      <c r="G6">
        <v>453.59237</v>
      </c>
    </row>
    <row r="7" spans="1:7" x14ac:dyDescent="0.25">
      <c r="A7" t="s">
        <v>181</v>
      </c>
      <c r="B7" s="36">
        <v>62</v>
      </c>
      <c r="C7" t="s">
        <v>182</v>
      </c>
      <c r="E7" t="s">
        <v>101</v>
      </c>
      <c r="F7" t="s">
        <v>183</v>
      </c>
      <c r="G7">
        <v>1</v>
      </c>
    </row>
    <row r="8" spans="1:7" x14ac:dyDescent="0.25">
      <c r="A8" t="s">
        <v>55</v>
      </c>
      <c r="B8" s="36">
        <f>IF(ISNUMBER(Ingredients!$I$8),Ingredients!$I$8,0)</f>
        <v>0</v>
      </c>
      <c r="C8" t="s">
        <v>57</v>
      </c>
      <c r="E8" t="s">
        <v>184</v>
      </c>
      <c r="F8" t="s">
        <v>183</v>
      </c>
      <c r="G8">
        <v>10</v>
      </c>
    </row>
    <row r="9" spans="1:7" x14ac:dyDescent="0.25">
      <c r="A9" t="s">
        <v>185</v>
      </c>
      <c r="B9" s="36">
        <v>1100</v>
      </c>
      <c r="C9" t="s">
        <v>176</v>
      </c>
      <c r="E9" t="s">
        <v>186</v>
      </c>
      <c r="F9" t="s">
        <v>183</v>
      </c>
      <c r="G9">
        <v>1000</v>
      </c>
    </row>
    <row r="10" spans="1:7" x14ac:dyDescent="0.25">
      <c r="A10" t="s">
        <v>187</v>
      </c>
      <c r="B10" s="36">
        <v>0.2115</v>
      </c>
      <c r="C10" t="s">
        <v>57</v>
      </c>
      <c r="E10" t="s">
        <v>188</v>
      </c>
      <c r="F10" t="s">
        <v>183</v>
      </c>
      <c r="G10">
        <v>4.92892159375</v>
      </c>
    </row>
    <row r="11" spans="1:7" x14ac:dyDescent="0.25">
      <c r="A11" t="s">
        <v>189</v>
      </c>
      <c r="B11" s="36">
        <v>106.35</v>
      </c>
      <c r="C11" t="s">
        <v>190</v>
      </c>
      <c r="E11" t="s">
        <v>191</v>
      </c>
      <c r="F11" t="s">
        <v>183</v>
      </c>
      <c r="G11">
        <v>14.78676478125</v>
      </c>
    </row>
    <row r="12" spans="1:7" x14ac:dyDescent="0.25">
      <c r="A12" t="s">
        <v>192</v>
      </c>
      <c r="B12" s="36">
        <v>0.198</v>
      </c>
      <c r="C12" t="s">
        <v>57</v>
      </c>
      <c r="E12" t="s">
        <v>193</v>
      </c>
      <c r="F12" t="s">
        <v>183</v>
      </c>
      <c r="G12">
        <v>240</v>
      </c>
    </row>
    <row r="13" spans="1:7" x14ac:dyDescent="0.25">
      <c r="A13" t="s">
        <v>194</v>
      </c>
      <c r="B13" s="36">
        <v>168</v>
      </c>
      <c r="C13" t="s">
        <v>195</v>
      </c>
      <c r="E13" t="s">
        <v>196</v>
      </c>
      <c r="F13" t="s">
        <v>183</v>
      </c>
      <c r="G13">
        <v>29.5735295625</v>
      </c>
    </row>
    <row r="14" spans="1:7" x14ac:dyDescent="0.25">
      <c r="A14" t="s">
        <v>197</v>
      </c>
      <c r="B14" s="36">
        <v>0.4684</v>
      </c>
      <c r="C14" t="s">
        <v>57</v>
      </c>
      <c r="E14" t="s">
        <v>198</v>
      </c>
      <c r="F14" t="s">
        <v>173</v>
      </c>
      <c r="G14">
        <v>1</v>
      </c>
    </row>
    <row r="15" spans="1:7" x14ac:dyDescent="0.25">
      <c r="A15" t="s">
        <v>199</v>
      </c>
      <c r="B15" s="36">
        <v>0.151</v>
      </c>
      <c r="C15" t="s">
        <v>57</v>
      </c>
      <c r="E15" t="s">
        <v>200</v>
      </c>
      <c r="F15" t="s">
        <v>173</v>
      </c>
      <c r="G15">
        <v>1</v>
      </c>
    </row>
    <row r="16" spans="1:7" x14ac:dyDescent="0.25">
      <c r="A16" t="s">
        <v>201</v>
      </c>
      <c r="B16" s="36">
        <v>18.6667</v>
      </c>
      <c r="C16" t="s">
        <v>182</v>
      </c>
      <c r="E16" t="s">
        <v>202</v>
      </c>
      <c r="F16" t="s">
        <v>173</v>
      </c>
      <c r="G16">
        <v>1000</v>
      </c>
    </row>
    <row r="17" spans="1:7" x14ac:dyDescent="0.25">
      <c r="A17" t="s">
        <v>203</v>
      </c>
      <c r="B17" s="36">
        <v>56</v>
      </c>
      <c r="C17" t="s">
        <v>182</v>
      </c>
      <c r="E17" t="s">
        <v>204</v>
      </c>
      <c r="F17" t="s">
        <v>173</v>
      </c>
      <c r="G17">
        <v>1000</v>
      </c>
    </row>
    <row r="18" spans="1:7" x14ac:dyDescent="0.25">
      <c r="A18" t="s">
        <v>205</v>
      </c>
      <c r="B18" s="36">
        <v>440</v>
      </c>
      <c r="C18" t="s">
        <v>176</v>
      </c>
      <c r="E18" t="s">
        <v>206</v>
      </c>
      <c r="F18" t="s">
        <v>173</v>
      </c>
      <c r="G18">
        <v>1000</v>
      </c>
    </row>
    <row r="19" spans="1:7" x14ac:dyDescent="0.25">
      <c r="A19" t="s">
        <v>207</v>
      </c>
      <c r="B19" s="36">
        <v>540</v>
      </c>
      <c r="C19" t="s">
        <v>176</v>
      </c>
      <c r="E19" t="s">
        <v>208</v>
      </c>
      <c r="F19" t="s">
        <v>183</v>
      </c>
      <c r="G19">
        <v>1</v>
      </c>
    </row>
    <row r="20" spans="1:7" x14ac:dyDescent="0.25">
      <c r="A20" t="s">
        <v>209</v>
      </c>
      <c r="B20" s="36">
        <v>0.334</v>
      </c>
      <c r="C20" t="s">
        <v>57</v>
      </c>
      <c r="E20" t="s">
        <v>210</v>
      </c>
      <c r="F20" t="s">
        <v>183</v>
      </c>
      <c r="G20">
        <v>1</v>
      </c>
    </row>
    <row r="21" spans="1:7" x14ac:dyDescent="0.25">
      <c r="A21" t="s">
        <v>211</v>
      </c>
      <c r="B21" s="36">
        <v>350</v>
      </c>
      <c r="C21" t="s">
        <v>212</v>
      </c>
      <c r="E21" t="s">
        <v>213</v>
      </c>
      <c r="F21" t="s">
        <v>183</v>
      </c>
      <c r="G21">
        <v>1000</v>
      </c>
    </row>
    <row r="22" spans="1:7" x14ac:dyDescent="0.25">
      <c r="A22" t="s">
        <v>214</v>
      </c>
      <c r="B22" s="36">
        <v>0.2631</v>
      </c>
      <c r="C22" t="s">
        <v>101</v>
      </c>
      <c r="E22" t="s">
        <v>215</v>
      </c>
      <c r="F22" t="s">
        <v>183</v>
      </c>
      <c r="G22">
        <v>1000</v>
      </c>
    </row>
    <row r="23" spans="1:7" x14ac:dyDescent="0.25">
      <c r="A23" t="s">
        <v>216</v>
      </c>
      <c r="B23" s="36">
        <v>0.2227</v>
      </c>
      <c r="C23" t="s">
        <v>101</v>
      </c>
      <c r="E23" t="s">
        <v>217</v>
      </c>
      <c r="F23" t="s">
        <v>183</v>
      </c>
      <c r="G23">
        <v>1000</v>
      </c>
    </row>
    <row r="24" spans="1:7" x14ac:dyDescent="0.25">
      <c r="A24" t="s">
        <v>218</v>
      </c>
      <c r="B24" s="36">
        <v>240</v>
      </c>
      <c r="C24" t="s">
        <v>212</v>
      </c>
      <c r="E24" t="s">
        <v>219</v>
      </c>
      <c r="F24" t="s">
        <v>183</v>
      </c>
      <c r="G24">
        <v>1000</v>
      </c>
    </row>
    <row r="25" spans="1:7" x14ac:dyDescent="0.25">
      <c r="A25" t="s">
        <v>220</v>
      </c>
      <c r="B25" s="36">
        <v>0.7733</v>
      </c>
      <c r="C25" t="s">
        <v>57</v>
      </c>
      <c r="E25" t="s">
        <v>221</v>
      </c>
      <c r="F25" t="s">
        <v>183</v>
      </c>
      <c r="G25">
        <v>1000</v>
      </c>
    </row>
    <row r="26" spans="1:3" x14ac:dyDescent="0.25">
      <c r="A26" t="s">
        <v>222</v>
      </c>
      <c r="B26" s="36">
        <v>470</v>
      </c>
      <c r="C26" t="s">
        <v>212</v>
      </c>
    </row>
    <row r="27" spans="1:3" x14ac:dyDescent="0.25">
      <c r="A27" t="s">
        <v>223</v>
      </c>
      <c r="B27" s="36">
        <v>1</v>
      </c>
      <c r="C27" t="s">
        <v>57</v>
      </c>
    </row>
    <row r="28" spans="1:3" x14ac:dyDescent="0.25">
      <c r="A28" t="s">
        <v>224</v>
      </c>
      <c r="B28" s="36">
        <v>0.7733</v>
      </c>
      <c r="C28" t="s">
        <v>57</v>
      </c>
    </row>
    <row r="29" spans="1:3" x14ac:dyDescent="0.25">
      <c r="A29" t="s">
        <v>225</v>
      </c>
      <c r="B29" s="36">
        <v>0.1267</v>
      </c>
      <c r="C29" t="s">
        <v>57</v>
      </c>
    </row>
    <row r="30" spans="1:3" x14ac:dyDescent="0.25">
      <c r="A30" t="s">
        <v>226</v>
      </c>
      <c r="B30" s="36">
        <v>0.152</v>
      </c>
      <c r="C30" t="s">
        <v>101</v>
      </c>
    </row>
    <row r="31" spans="1:3" x14ac:dyDescent="0.25">
      <c r="A31" t="s">
        <v>227</v>
      </c>
      <c r="B31" s="36">
        <v>0.0981</v>
      </c>
      <c r="C31" t="s">
        <v>101</v>
      </c>
    </row>
    <row r="32" spans="1:3" x14ac:dyDescent="0.25">
      <c r="A32" t="s">
        <v>228</v>
      </c>
      <c r="B32" s="36">
        <v>0.085</v>
      </c>
      <c r="C32" t="s">
        <v>57</v>
      </c>
    </row>
    <row r="33" spans="1:3" x14ac:dyDescent="0.25">
      <c r="A33" t="s">
        <v>118</v>
      </c>
      <c r="B33" s="36">
        <v>0.085</v>
      </c>
      <c r="C33" t="s">
        <v>57</v>
      </c>
    </row>
    <row r="34" spans="1:3" x14ac:dyDescent="0.25">
      <c r="A34" t="s">
        <v>58</v>
      </c>
      <c r="B34" s="36">
        <f>IF(ISNUMBER(Ingredients!$I$9),Ingredients!$I$9,0)</f>
        <v>0</v>
      </c>
      <c r="C34" t="s">
        <v>57</v>
      </c>
    </row>
    <row r="35" spans="1:3" x14ac:dyDescent="0.25">
      <c r="A35" t="s">
        <v>229</v>
      </c>
      <c r="B35" s="36">
        <v>0.2295</v>
      </c>
      <c r="C35" t="s">
        <v>57</v>
      </c>
    </row>
    <row r="36" spans="1:3" x14ac:dyDescent="0.25">
      <c r="A36" t="s">
        <v>230</v>
      </c>
      <c r="B36" s="36">
        <v>178</v>
      </c>
      <c r="C36" t="s">
        <v>231</v>
      </c>
    </row>
    <row r="37" spans="1:3" x14ac:dyDescent="0.25">
      <c r="A37" t="s">
        <v>232</v>
      </c>
      <c r="B37" s="36">
        <v>0.5</v>
      </c>
      <c r="C37" t="s">
        <v>101</v>
      </c>
    </row>
    <row r="38" spans="1:3" x14ac:dyDescent="0.25">
      <c r="A38" t="s">
        <v>60</v>
      </c>
      <c r="B38" s="36">
        <f>IF(ISNUMBER(Ingredients!$I$10),Ingredients!$I$10,0)</f>
        <v>0</v>
      </c>
      <c r="C38" t="s">
        <v>57</v>
      </c>
    </row>
    <row r="39" spans="1:3" x14ac:dyDescent="0.25">
      <c r="A39" t="s">
        <v>233</v>
      </c>
      <c r="B39" s="36">
        <v>0.4216</v>
      </c>
      <c r="C39" t="s">
        <v>57</v>
      </c>
    </row>
    <row r="40" spans="1:3" x14ac:dyDescent="0.25">
      <c r="A40" t="s">
        <v>234</v>
      </c>
      <c r="B40" s="36">
        <v>37.75</v>
      </c>
      <c r="C40" t="s">
        <v>212</v>
      </c>
    </row>
    <row r="41" spans="1:3" x14ac:dyDescent="0.25">
      <c r="A41" t="s">
        <v>235</v>
      </c>
      <c r="B41" s="36">
        <v>246</v>
      </c>
      <c r="C41" t="s">
        <v>231</v>
      </c>
    </row>
    <row r="42" spans="1:3" x14ac:dyDescent="0.25">
      <c r="A42" t="s">
        <v>236</v>
      </c>
      <c r="B42" s="36">
        <v>0.2449</v>
      </c>
      <c r="C42" t="s">
        <v>57</v>
      </c>
    </row>
    <row r="43" spans="1:3" x14ac:dyDescent="0.25">
      <c r="A43" t="s">
        <v>237</v>
      </c>
      <c r="B43" s="36">
        <v>250</v>
      </c>
      <c r="C43" t="s">
        <v>176</v>
      </c>
    </row>
    <row r="44" spans="1:3" x14ac:dyDescent="0.25">
      <c r="A44" t="s">
        <v>238</v>
      </c>
      <c r="B44" s="36">
        <v>0.609</v>
      </c>
      <c r="C44" t="s">
        <v>57</v>
      </c>
    </row>
    <row r="45" spans="1:3" x14ac:dyDescent="0.25">
      <c r="A45" t="s">
        <v>239</v>
      </c>
      <c r="B45" s="36">
        <v>0.23</v>
      </c>
      <c r="C45" t="s">
        <v>57</v>
      </c>
    </row>
    <row r="46" spans="1:3" x14ac:dyDescent="0.25">
      <c r="A46" t="s">
        <v>97</v>
      </c>
      <c r="B46" s="36">
        <v>0.5066</v>
      </c>
      <c r="C46" t="s">
        <v>57</v>
      </c>
    </row>
    <row r="47" spans="1:3" x14ac:dyDescent="0.25">
      <c r="A47" t="s">
        <v>240</v>
      </c>
      <c r="B47" s="36">
        <v>250</v>
      </c>
      <c r="C47" t="s">
        <v>176</v>
      </c>
    </row>
    <row r="48" spans="1:3" x14ac:dyDescent="0.25">
      <c r="A48" t="s">
        <v>149</v>
      </c>
      <c r="B48" s="36">
        <v>11.0126</v>
      </c>
      <c r="C48" t="s">
        <v>212</v>
      </c>
    </row>
    <row r="49" spans="1:3" x14ac:dyDescent="0.25">
      <c r="A49" t="s">
        <v>106</v>
      </c>
      <c r="B49" s="36">
        <v>2.864</v>
      </c>
      <c r="C49" t="s">
        <v>57</v>
      </c>
    </row>
    <row r="50" spans="1:3" x14ac:dyDescent="0.25">
      <c r="A50" t="s">
        <v>241</v>
      </c>
      <c r="B50" s="36">
        <v>0.4343</v>
      </c>
      <c r="C50" t="s">
        <v>57</v>
      </c>
    </row>
    <row r="51" spans="1:3" x14ac:dyDescent="0.25">
      <c r="A51" t="s">
        <v>242</v>
      </c>
      <c r="B51" s="36">
        <v>0.35</v>
      </c>
      <c r="C51" t="s">
        <v>57</v>
      </c>
    </row>
    <row r="52" spans="1:3" x14ac:dyDescent="0.25">
      <c r="A52" t="s">
        <v>243</v>
      </c>
      <c r="B52" s="36">
        <v>0.9256</v>
      </c>
      <c r="C52" t="s">
        <v>57</v>
      </c>
    </row>
    <row r="53" spans="1:3" x14ac:dyDescent="0.25">
      <c r="A53" t="s">
        <v>244</v>
      </c>
      <c r="B53" s="36">
        <v>129</v>
      </c>
      <c r="C53" t="s">
        <v>212</v>
      </c>
    </row>
    <row r="54" spans="1:3" x14ac:dyDescent="0.25">
      <c r="A54" t="s">
        <v>245</v>
      </c>
      <c r="B54" s="36">
        <v>1.1</v>
      </c>
      <c r="C54" t="s">
        <v>57</v>
      </c>
    </row>
    <row r="55" spans="1:3" x14ac:dyDescent="0.25">
      <c r="A55" t="s">
        <v>246</v>
      </c>
      <c r="B55" s="36">
        <v>7.2</v>
      </c>
      <c r="C55" t="s">
        <v>212</v>
      </c>
    </row>
    <row r="56" spans="1:3" x14ac:dyDescent="0.25">
      <c r="A56" t="s">
        <v>247</v>
      </c>
      <c r="B56" s="36">
        <v>3.5</v>
      </c>
      <c r="C56" t="s">
        <v>212</v>
      </c>
    </row>
    <row r="57" spans="1:3" x14ac:dyDescent="0.25">
      <c r="A57" t="s">
        <v>248</v>
      </c>
      <c r="B57" s="36">
        <v>3.64</v>
      </c>
      <c r="C57" t="s">
        <v>212</v>
      </c>
    </row>
    <row r="58" spans="1:3" x14ac:dyDescent="0.25">
      <c r="A58" t="s">
        <v>249</v>
      </c>
      <c r="B58" s="36">
        <v>0.1481</v>
      </c>
      <c r="C58" t="s">
        <v>57</v>
      </c>
    </row>
    <row r="59" spans="1:3" x14ac:dyDescent="0.25">
      <c r="A59" t="s">
        <v>250</v>
      </c>
      <c r="B59" s="36">
        <v>48</v>
      </c>
      <c r="C59" t="s">
        <v>176</v>
      </c>
    </row>
    <row r="60" spans="1:3" x14ac:dyDescent="0.25">
      <c r="A60" t="s">
        <v>251</v>
      </c>
      <c r="B60" s="36">
        <v>0.29</v>
      </c>
      <c r="C60" t="s">
        <v>57</v>
      </c>
    </row>
    <row r="61" spans="1:3" x14ac:dyDescent="0.25">
      <c r="A61" t="s">
        <v>252</v>
      </c>
      <c r="B61" s="36">
        <v>0.3867</v>
      </c>
      <c r="C61" t="s">
        <v>57</v>
      </c>
    </row>
    <row r="62" spans="1:3" x14ac:dyDescent="0.25">
      <c r="A62" t="s">
        <v>253</v>
      </c>
      <c r="B62" s="36">
        <v>0.3965</v>
      </c>
      <c r="C62" t="s">
        <v>57</v>
      </c>
    </row>
    <row r="63" spans="1:3" x14ac:dyDescent="0.25">
      <c r="A63" t="s">
        <v>254</v>
      </c>
      <c r="B63" s="36">
        <v>0.7296</v>
      </c>
      <c r="C63" t="s">
        <v>57</v>
      </c>
    </row>
    <row r="64" spans="1:3" x14ac:dyDescent="0.25">
      <c r="A64" t="s">
        <v>255</v>
      </c>
      <c r="B64" s="36">
        <v>46</v>
      </c>
      <c r="C64" t="s">
        <v>195</v>
      </c>
    </row>
    <row r="65" spans="1:3" x14ac:dyDescent="0.25">
      <c r="A65" t="s">
        <v>256</v>
      </c>
      <c r="B65" s="36">
        <v>97.5</v>
      </c>
      <c r="C65" t="s">
        <v>212</v>
      </c>
    </row>
    <row r="66" spans="1:3" x14ac:dyDescent="0.25">
      <c r="A66" t="s">
        <v>257</v>
      </c>
      <c r="B66" s="36">
        <v>429</v>
      </c>
      <c r="C66" t="s">
        <v>258</v>
      </c>
    </row>
    <row r="67" spans="1:3" x14ac:dyDescent="0.25">
      <c r="A67" t="s">
        <v>259</v>
      </c>
      <c r="B67" s="36">
        <v>495</v>
      </c>
      <c r="C67" t="s">
        <v>190</v>
      </c>
    </row>
    <row r="68" spans="1:3" x14ac:dyDescent="0.25">
      <c r="A68" t="s">
        <v>260</v>
      </c>
      <c r="B68" s="36">
        <v>500</v>
      </c>
      <c r="C68" t="s">
        <v>190</v>
      </c>
    </row>
    <row r="69" spans="1:3" x14ac:dyDescent="0.25">
      <c r="A69" t="s">
        <v>261</v>
      </c>
      <c r="B69" s="36">
        <v>0.2885</v>
      </c>
      <c r="C69" t="s">
        <v>57</v>
      </c>
    </row>
    <row r="70" spans="1:3" x14ac:dyDescent="0.25">
      <c r="A70" t="s">
        <v>262</v>
      </c>
      <c r="B70" s="36">
        <v>43.725</v>
      </c>
      <c r="C70" t="s">
        <v>190</v>
      </c>
    </row>
    <row r="71" spans="1:3" x14ac:dyDescent="0.25">
      <c r="A71" t="s">
        <v>263</v>
      </c>
      <c r="B71" s="36">
        <v>0.6085</v>
      </c>
      <c r="C71" t="s">
        <v>101</v>
      </c>
    </row>
    <row r="72" spans="1:3" x14ac:dyDescent="0.25">
      <c r="A72" t="s">
        <v>264</v>
      </c>
      <c r="B72" s="36">
        <v>0.5</v>
      </c>
      <c r="C72" t="s">
        <v>101</v>
      </c>
    </row>
    <row r="73" spans="1:3" x14ac:dyDescent="0.25">
      <c r="A73" t="s">
        <v>265</v>
      </c>
      <c r="B73" s="36">
        <v>3.6429</v>
      </c>
      <c r="C73" t="s">
        <v>212</v>
      </c>
    </row>
    <row r="74" spans="1:3" x14ac:dyDescent="0.25">
      <c r="A74" t="s">
        <v>266</v>
      </c>
      <c r="B74" s="36">
        <v>1.8571</v>
      </c>
      <c r="C74" t="s">
        <v>212</v>
      </c>
    </row>
    <row r="75" spans="1:3" x14ac:dyDescent="0.25">
      <c r="A75" t="s">
        <v>267</v>
      </c>
      <c r="B75" s="36">
        <v>1.8571</v>
      </c>
      <c r="C75" t="s">
        <v>212</v>
      </c>
    </row>
    <row r="76" spans="1:3" x14ac:dyDescent="0.25">
      <c r="A76" t="s">
        <v>268</v>
      </c>
      <c r="B76" s="36">
        <v>3.5</v>
      </c>
      <c r="C76" t="s">
        <v>212</v>
      </c>
    </row>
    <row r="77" spans="1:3" x14ac:dyDescent="0.25">
      <c r="A77" t="s">
        <v>269</v>
      </c>
      <c r="B77" s="36">
        <v>3.6429</v>
      </c>
      <c r="C77" t="s">
        <v>212</v>
      </c>
    </row>
    <row r="78" spans="1:3" x14ac:dyDescent="0.25">
      <c r="A78" t="s">
        <v>270</v>
      </c>
      <c r="B78" s="36">
        <v>1.7</v>
      </c>
      <c r="C78" t="s">
        <v>212</v>
      </c>
    </row>
    <row r="79" spans="1:3" x14ac:dyDescent="0.25">
      <c r="A79" t="s">
        <v>271</v>
      </c>
      <c r="B79" s="36">
        <v>1.6429</v>
      </c>
      <c r="C79" t="s">
        <v>212</v>
      </c>
    </row>
    <row r="80" spans="1:3" x14ac:dyDescent="0.25">
      <c r="A80" t="s">
        <v>272</v>
      </c>
      <c r="B80" s="36">
        <v>0.1776</v>
      </c>
      <c r="C80" t="s">
        <v>57</v>
      </c>
    </row>
    <row r="81" spans="1:3" x14ac:dyDescent="0.25">
      <c r="A81" t="s">
        <v>273</v>
      </c>
      <c r="B81" s="36">
        <v>0.1062</v>
      </c>
      <c r="C81" t="s">
        <v>57</v>
      </c>
    </row>
    <row r="82" spans="1:3" x14ac:dyDescent="0.25">
      <c r="A82" t="s">
        <v>274</v>
      </c>
      <c r="B82" s="36">
        <v>2.5</v>
      </c>
      <c r="C82" t="s">
        <v>57</v>
      </c>
    </row>
    <row r="83" spans="1:3" x14ac:dyDescent="0.25">
      <c r="A83" t="s">
        <v>275</v>
      </c>
      <c r="B83" s="36">
        <v>9.18</v>
      </c>
      <c r="C83" t="s">
        <v>212</v>
      </c>
    </row>
    <row r="84" spans="1:3" x14ac:dyDescent="0.25">
      <c r="A84" t="s">
        <v>276</v>
      </c>
      <c r="B84" s="36">
        <v>3.7</v>
      </c>
      <c r="C84" t="s">
        <v>212</v>
      </c>
    </row>
    <row r="85" spans="1:3" x14ac:dyDescent="0.25">
      <c r="A85" t="s">
        <v>277</v>
      </c>
      <c r="B85" s="36">
        <v>380</v>
      </c>
      <c r="C85" t="s">
        <v>176</v>
      </c>
    </row>
    <row r="86" spans="1:3" x14ac:dyDescent="0.25">
      <c r="A86" t="s">
        <v>278</v>
      </c>
      <c r="B86" s="36">
        <v>126.6667</v>
      </c>
      <c r="C86" t="s">
        <v>176</v>
      </c>
    </row>
    <row r="87" spans="1:3" x14ac:dyDescent="0.25">
      <c r="A87" t="s">
        <v>279</v>
      </c>
      <c r="B87" s="36">
        <v>380</v>
      </c>
      <c r="C87" t="s">
        <v>176</v>
      </c>
    </row>
    <row r="88" spans="1:3" x14ac:dyDescent="0.25">
      <c r="A88" t="s">
        <v>280</v>
      </c>
      <c r="B88" s="36">
        <v>126.6667</v>
      </c>
      <c r="C88" t="s">
        <v>176</v>
      </c>
    </row>
    <row r="89" spans="1:3" x14ac:dyDescent="0.25">
      <c r="A89" t="s">
        <v>281</v>
      </c>
      <c r="B89" s="36">
        <v>143.3333</v>
      </c>
      <c r="C89" t="s">
        <v>176</v>
      </c>
    </row>
    <row r="90" spans="1:3" x14ac:dyDescent="0.25">
      <c r="A90" t="s">
        <v>282</v>
      </c>
      <c r="B90" s="36">
        <v>380</v>
      </c>
      <c r="C90" t="s">
        <v>176</v>
      </c>
    </row>
    <row r="91" spans="1:3" x14ac:dyDescent="0.25">
      <c r="A91" t="s">
        <v>283</v>
      </c>
      <c r="B91" s="36">
        <v>126.6667</v>
      </c>
      <c r="C91" t="s">
        <v>176</v>
      </c>
    </row>
    <row r="92" spans="1:3" x14ac:dyDescent="0.25">
      <c r="A92" t="s">
        <v>284</v>
      </c>
      <c r="B92" s="36">
        <v>0.6775</v>
      </c>
      <c r="C92" t="s">
        <v>101</v>
      </c>
    </row>
    <row r="93" spans="1:3" x14ac:dyDescent="0.25">
      <c r="A93" t="s">
        <v>285</v>
      </c>
      <c r="B93" s="36">
        <v>1.86</v>
      </c>
      <c r="C93" t="s">
        <v>212</v>
      </c>
    </row>
    <row r="94" spans="1:3" x14ac:dyDescent="0.25">
      <c r="A94" t="s">
        <v>286</v>
      </c>
      <c r="B94" s="36">
        <v>174.45</v>
      </c>
      <c r="C94" t="s">
        <v>190</v>
      </c>
    </row>
    <row r="95" spans="1:3" x14ac:dyDescent="0.25">
      <c r="A95" t="s">
        <v>287</v>
      </c>
      <c r="B95" s="36">
        <v>79</v>
      </c>
      <c r="C95" t="s">
        <v>57</v>
      </c>
    </row>
    <row r="96" spans="1:3" x14ac:dyDescent="0.25">
      <c r="A96" t="s">
        <v>288</v>
      </c>
      <c r="B96" s="36">
        <v>164</v>
      </c>
      <c r="C96" t="s">
        <v>212</v>
      </c>
    </row>
    <row r="97" spans="1:3" x14ac:dyDescent="0.25">
      <c r="A97" t="s">
        <v>289</v>
      </c>
      <c r="B97" s="36">
        <v>866</v>
      </c>
      <c r="C97" t="s">
        <v>190</v>
      </c>
    </row>
    <row r="98" spans="1:3" x14ac:dyDescent="0.25">
      <c r="A98" t="s">
        <v>290</v>
      </c>
      <c r="B98" s="36">
        <v>1.1858</v>
      </c>
      <c r="C98" t="s">
        <v>101</v>
      </c>
    </row>
    <row r="99" spans="1:3" x14ac:dyDescent="0.25">
      <c r="A99" t="s">
        <v>291</v>
      </c>
      <c r="B99" s="36">
        <v>0.195</v>
      </c>
      <c r="C99" t="s">
        <v>57</v>
      </c>
    </row>
    <row r="100" spans="1:3" x14ac:dyDescent="0.25">
      <c r="A100" t="s">
        <v>292</v>
      </c>
      <c r="B100" s="36">
        <v>209</v>
      </c>
      <c r="C100" t="s">
        <v>212</v>
      </c>
    </row>
    <row r="101" spans="1:3" x14ac:dyDescent="0.25">
      <c r="A101" t="s">
        <v>293</v>
      </c>
      <c r="B101" s="36">
        <v>152</v>
      </c>
      <c r="C101" t="s">
        <v>57</v>
      </c>
    </row>
    <row r="102" spans="1:3" x14ac:dyDescent="0.25">
      <c r="A102" t="s">
        <v>294</v>
      </c>
      <c r="B102" s="36">
        <v>0.749</v>
      </c>
      <c r="C102" t="s">
        <v>57</v>
      </c>
    </row>
    <row r="103" spans="1:3" x14ac:dyDescent="0.25">
      <c r="A103" t="s">
        <v>62</v>
      </c>
      <c r="B103" s="36">
        <f>IF(ISNUMBER(Ingredients!$I$11),Ingredients!$I$11,0)</f>
        <v>0</v>
      </c>
      <c r="C103" t="s">
        <v>57</v>
      </c>
    </row>
    <row r="104" spans="1:3" x14ac:dyDescent="0.25">
      <c r="A104" t="s">
        <v>63</v>
      </c>
      <c r="B104" s="36">
        <f>IF(ISNUMBER(Ingredients!$I$12),Ingredients!$I$12,0)</f>
        <v>0</v>
      </c>
      <c r="C104" t="s">
        <v>57</v>
      </c>
    </row>
    <row r="105" spans="1:3" x14ac:dyDescent="0.25">
      <c r="A105" t="s">
        <v>295</v>
      </c>
      <c r="B105" s="36">
        <v>152</v>
      </c>
      <c r="C105" t="s">
        <v>190</v>
      </c>
    </row>
    <row r="106" spans="1:3" x14ac:dyDescent="0.25">
      <c r="A106" t="s">
        <v>296</v>
      </c>
      <c r="B106" s="36">
        <v>152</v>
      </c>
      <c r="C106" t="s">
        <v>190</v>
      </c>
    </row>
    <row r="107" spans="1:3" x14ac:dyDescent="0.25">
      <c r="A107" t="s">
        <v>297</v>
      </c>
      <c r="B107" s="36">
        <v>0.5233</v>
      </c>
      <c r="C107" t="s">
        <v>57</v>
      </c>
    </row>
    <row r="108" spans="1:3" x14ac:dyDescent="0.25">
      <c r="A108" t="s">
        <v>298</v>
      </c>
      <c r="B108" s="36">
        <v>0.5597</v>
      </c>
      <c r="C108" t="s">
        <v>57</v>
      </c>
    </row>
    <row r="109" spans="1:3" x14ac:dyDescent="0.25">
      <c r="A109" t="s">
        <v>299</v>
      </c>
      <c r="B109" s="36">
        <v>7.8333</v>
      </c>
      <c r="C109" t="s">
        <v>212</v>
      </c>
    </row>
    <row r="110" spans="1:3" x14ac:dyDescent="0.25">
      <c r="A110" t="s">
        <v>300</v>
      </c>
      <c r="B110" s="36">
        <v>0.8435</v>
      </c>
      <c r="C110" t="s">
        <v>57</v>
      </c>
    </row>
    <row r="111" spans="1:3" x14ac:dyDescent="0.25">
      <c r="A111" t="s">
        <v>301</v>
      </c>
      <c r="B111" s="36">
        <v>180</v>
      </c>
      <c r="C111" t="s">
        <v>57</v>
      </c>
    </row>
    <row r="112" spans="1:3" x14ac:dyDescent="0.25">
      <c r="A112" t="s">
        <v>302</v>
      </c>
      <c r="B112" s="36">
        <v>137.5</v>
      </c>
      <c r="C112" t="s">
        <v>176</v>
      </c>
    </row>
    <row r="113" spans="1:3" x14ac:dyDescent="0.25">
      <c r="A113" t="s">
        <v>303</v>
      </c>
      <c r="B113" s="36">
        <v>137.5</v>
      </c>
      <c r="C113" t="s">
        <v>176</v>
      </c>
    </row>
    <row r="114" spans="1:3" x14ac:dyDescent="0.25">
      <c r="A114" t="s">
        <v>304</v>
      </c>
      <c r="B114" s="36">
        <v>137.5</v>
      </c>
      <c r="C114" t="s">
        <v>176</v>
      </c>
    </row>
    <row r="115" spans="1:3" x14ac:dyDescent="0.25">
      <c r="A115" t="s">
        <v>305</v>
      </c>
      <c r="B115" s="36">
        <v>0.09</v>
      </c>
      <c r="C115" t="s">
        <v>101</v>
      </c>
    </row>
    <row r="116" spans="1:3" x14ac:dyDescent="0.25">
      <c r="A116" t="s">
        <v>306</v>
      </c>
      <c r="B116" s="36">
        <v>88</v>
      </c>
      <c r="C116" t="s">
        <v>190</v>
      </c>
    </row>
    <row r="117" spans="1:3" x14ac:dyDescent="0.25">
      <c r="A117" t="s">
        <v>307</v>
      </c>
      <c r="B117" s="36">
        <v>385</v>
      </c>
      <c r="C117" t="s">
        <v>190</v>
      </c>
    </row>
    <row r="118" spans="1:3" x14ac:dyDescent="0.25">
      <c r="A118" t="s">
        <v>308</v>
      </c>
      <c r="B118" s="36">
        <v>9.9</v>
      </c>
      <c r="C118" t="s">
        <v>212</v>
      </c>
    </row>
    <row r="119" spans="1:3" x14ac:dyDescent="0.25">
      <c r="A119" t="s">
        <v>309</v>
      </c>
      <c r="B119" s="36">
        <v>0.1387</v>
      </c>
      <c r="C119" t="s">
        <v>57</v>
      </c>
    </row>
    <row r="120" spans="1:3" x14ac:dyDescent="0.25">
      <c r="A120" t="s">
        <v>310</v>
      </c>
      <c r="B120" s="36">
        <v>1.24</v>
      </c>
      <c r="C120" t="s">
        <v>57</v>
      </c>
    </row>
    <row r="121" spans="1:3" x14ac:dyDescent="0.25">
      <c r="A121" t="s">
        <v>311</v>
      </c>
      <c r="B121" s="36">
        <v>99</v>
      </c>
      <c r="C121" t="s">
        <v>212</v>
      </c>
    </row>
    <row r="122" spans="1:3" x14ac:dyDescent="0.25">
      <c r="A122" t="s">
        <v>312</v>
      </c>
      <c r="B122" s="36">
        <v>425</v>
      </c>
      <c r="C122" t="s">
        <v>190</v>
      </c>
    </row>
    <row r="123" spans="1:3" x14ac:dyDescent="0.25">
      <c r="A123" t="s">
        <v>313</v>
      </c>
      <c r="B123" s="36">
        <v>225</v>
      </c>
      <c r="C123" t="s">
        <v>176</v>
      </c>
    </row>
    <row r="124" spans="1:3" x14ac:dyDescent="0.25">
      <c r="A124" t="s">
        <v>314</v>
      </c>
      <c r="B124" s="36">
        <v>225</v>
      </c>
      <c r="C124" t="s">
        <v>190</v>
      </c>
    </row>
    <row r="125" spans="1:3" x14ac:dyDescent="0.25">
      <c r="A125" t="s">
        <v>315</v>
      </c>
      <c r="B125" s="36">
        <v>340</v>
      </c>
      <c r="C125" t="s">
        <v>190</v>
      </c>
    </row>
    <row r="126" spans="1:3" x14ac:dyDescent="0.25">
      <c r="A126" t="s">
        <v>316</v>
      </c>
      <c r="B126" s="36">
        <v>17.6</v>
      </c>
      <c r="C126" t="s">
        <v>212</v>
      </c>
    </row>
    <row r="127" spans="1:3" x14ac:dyDescent="0.25">
      <c r="A127" t="s">
        <v>317</v>
      </c>
      <c r="B127" s="36">
        <v>260</v>
      </c>
      <c r="C127" t="s">
        <v>190</v>
      </c>
    </row>
    <row r="128" spans="1:3" x14ac:dyDescent="0.25">
      <c r="A128" t="s">
        <v>318</v>
      </c>
      <c r="B128" s="36">
        <v>65</v>
      </c>
      <c r="C128" t="s">
        <v>212</v>
      </c>
    </row>
    <row r="129" spans="1:3" x14ac:dyDescent="0.25">
      <c r="A129" t="s">
        <v>319</v>
      </c>
      <c r="B129" s="36">
        <v>0.3257</v>
      </c>
      <c r="C129" t="s">
        <v>212</v>
      </c>
    </row>
    <row r="130" spans="1:3" x14ac:dyDescent="0.25">
      <c r="A130" t="s">
        <v>320</v>
      </c>
      <c r="B130" s="36">
        <v>45</v>
      </c>
      <c r="C130" t="s">
        <v>57</v>
      </c>
    </row>
    <row r="131" spans="1:3" x14ac:dyDescent="0.25">
      <c r="A131" t="s">
        <v>321</v>
      </c>
      <c r="B131" s="36">
        <v>78.75</v>
      </c>
      <c r="C131" t="s">
        <v>212</v>
      </c>
    </row>
    <row r="132" spans="1:3" x14ac:dyDescent="0.25">
      <c r="A132" t="s">
        <v>322</v>
      </c>
      <c r="B132" s="36">
        <v>309</v>
      </c>
      <c r="C132" t="s">
        <v>258</v>
      </c>
    </row>
    <row r="133" spans="1:3" x14ac:dyDescent="0.25">
      <c r="A133" t="s">
        <v>323</v>
      </c>
      <c r="B133" s="36">
        <v>309</v>
      </c>
      <c r="C133" t="s">
        <v>212</v>
      </c>
    </row>
    <row r="134" spans="1:3" x14ac:dyDescent="0.25">
      <c r="A134" t="s">
        <v>324</v>
      </c>
      <c r="B134" s="36">
        <v>325</v>
      </c>
      <c r="C134" t="s">
        <v>195</v>
      </c>
    </row>
    <row r="135" spans="1:3" x14ac:dyDescent="0.25">
      <c r="A135" t="s">
        <v>64</v>
      </c>
      <c r="B135" s="36">
        <f>IF(ISNUMBER(Ingredients!$I$13),Ingredients!$I$13,0)</f>
        <v>0</v>
      </c>
      <c r="C135" t="s">
        <v>57</v>
      </c>
    </row>
    <row r="136" spans="1:3" x14ac:dyDescent="0.25">
      <c r="A136" t="s">
        <v>325</v>
      </c>
      <c r="B136" s="36">
        <v>69.75</v>
      </c>
      <c r="C136" t="s">
        <v>212</v>
      </c>
    </row>
    <row r="137" spans="1:3" x14ac:dyDescent="0.25">
      <c r="A137" t="s">
        <v>326</v>
      </c>
      <c r="B137" s="36">
        <v>0.7253</v>
      </c>
      <c r="C137" t="s">
        <v>57</v>
      </c>
    </row>
    <row r="138" spans="1:3" x14ac:dyDescent="0.25">
      <c r="A138" t="s">
        <v>327</v>
      </c>
      <c r="B138" s="36">
        <v>0.34</v>
      </c>
      <c r="C138" t="s">
        <v>57</v>
      </c>
    </row>
    <row r="139" spans="1:3" x14ac:dyDescent="0.25">
      <c r="A139" t="s">
        <v>328</v>
      </c>
      <c r="B139" s="36">
        <v>45</v>
      </c>
      <c r="C139" t="s">
        <v>212</v>
      </c>
    </row>
    <row r="140" spans="1:3" x14ac:dyDescent="0.25">
      <c r="A140" t="s">
        <v>329</v>
      </c>
      <c r="B140" s="36">
        <v>0.2167</v>
      </c>
      <c r="C140" t="s">
        <v>212</v>
      </c>
    </row>
    <row r="141" spans="1:3" x14ac:dyDescent="0.25">
      <c r="A141" t="s">
        <v>330</v>
      </c>
      <c r="B141" s="36">
        <v>26</v>
      </c>
      <c r="C141" t="s">
        <v>195</v>
      </c>
    </row>
    <row r="142" spans="1:3" x14ac:dyDescent="0.25">
      <c r="A142" t="s">
        <v>331</v>
      </c>
      <c r="B142" s="36">
        <v>24</v>
      </c>
      <c r="C142" t="s">
        <v>195</v>
      </c>
    </row>
    <row r="143" spans="1:3" x14ac:dyDescent="0.25">
      <c r="A143" t="s">
        <v>332</v>
      </c>
      <c r="B143" s="36">
        <v>170</v>
      </c>
      <c r="C143" t="s">
        <v>176</v>
      </c>
    </row>
    <row r="144" spans="1:3" x14ac:dyDescent="0.25">
      <c r="A144" t="s">
        <v>333</v>
      </c>
      <c r="B144" s="36">
        <v>80</v>
      </c>
      <c r="C144" t="s">
        <v>195</v>
      </c>
    </row>
    <row r="145" spans="1:3" x14ac:dyDescent="0.25">
      <c r="A145" t="s">
        <v>334</v>
      </c>
      <c r="B145" s="36">
        <v>125</v>
      </c>
      <c r="C145" t="s">
        <v>176</v>
      </c>
    </row>
    <row r="146" spans="1:3" x14ac:dyDescent="0.25">
      <c r="A146" t="s">
        <v>335</v>
      </c>
      <c r="B146" s="36">
        <v>175</v>
      </c>
      <c r="C146" t="s">
        <v>212</v>
      </c>
    </row>
    <row r="147" spans="1:3" x14ac:dyDescent="0.25">
      <c r="A147" t="s">
        <v>336</v>
      </c>
      <c r="B147" s="36">
        <v>90</v>
      </c>
      <c r="C147" t="s">
        <v>212</v>
      </c>
    </row>
    <row r="148" spans="1:3" x14ac:dyDescent="0.25">
      <c r="A148" t="s">
        <v>337</v>
      </c>
      <c r="B148" s="36">
        <v>8.4</v>
      </c>
      <c r="C148" t="s">
        <v>212</v>
      </c>
    </row>
    <row r="149" spans="1:3" x14ac:dyDescent="0.25">
      <c r="A149" t="s">
        <v>110</v>
      </c>
      <c r="B149" s="36">
        <v>0.112</v>
      </c>
      <c r="C149" t="s">
        <v>57</v>
      </c>
    </row>
    <row r="150" spans="1:3" x14ac:dyDescent="0.25">
      <c r="A150" t="s">
        <v>66</v>
      </c>
      <c r="B150" s="36">
        <f>IF(ISNUMBER(Ingredients!$I$14),Ingredients!$I$14,0)</f>
        <v>0</v>
      </c>
      <c r="C150" t="s">
        <v>57</v>
      </c>
    </row>
    <row r="151" spans="1:3" x14ac:dyDescent="0.25">
      <c r="A151" t="s">
        <v>338</v>
      </c>
      <c r="B151" s="36">
        <v>109.0909</v>
      </c>
      <c r="C151" t="s">
        <v>176</v>
      </c>
    </row>
    <row r="152" spans="1:3" x14ac:dyDescent="0.25">
      <c r="A152" t="s">
        <v>339</v>
      </c>
      <c r="B152" s="36">
        <v>41.5</v>
      </c>
      <c r="C152" t="s">
        <v>195</v>
      </c>
    </row>
    <row r="153" spans="1:3" x14ac:dyDescent="0.25">
      <c r="A153" t="s">
        <v>68</v>
      </c>
      <c r="B153" s="36">
        <f>IF(ISNUMBER(Ingredients!$I$15),Ingredients!$I$15,0)</f>
        <v>0</v>
      </c>
      <c r="C153" t="s">
        <v>57</v>
      </c>
    </row>
    <row r="154" spans="1:3" x14ac:dyDescent="0.25">
      <c r="A154" t="s">
        <v>340</v>
      </c>
      <c r="B154" s="36">
        <v>94.75</v>
      </c>
      <c r="C154" t="s">
        <v>212</v>
      </c>
    </row>
    <row r="155" spans="1:3" x14ac:dyDescent="0.25">
      <c r="A155" t="s">
        <v>341</v>
      </c>
      <c r="B155" s="36">
        <v>5.8462</v>
      </c>
      <c r="C155" t="s">
        <v>101</v>
      </c>
    </row>
    <row r="156" spans="1:3" x14ac:dyDescent="0.25">
      <c r="A156" t="s">
        <v>342</v>
      </c>
      <c r="B156" s="36">
        <v>7.1</v>
      </c>
      <c r="C156" t="s">
        <v>212</v>
      </c>
    </row>
    <row r="157" spans="1:3" x14ac:dyDescent="0.25">
      <c r="A157" t="s">
        <v>343</v>
      </c>
      <c r="B157" s="36">
        <v>142.05</v>
      </c>
      <c r="C157" t="s">
        <v>176</v>
      </c>
    </row>
    <row r="158" spans="1:3" x14ac:dyDescent="0.25">
      <c r="A158" t="s">
        <v>344</v>
      </c>
      <c r="B158" s="36">
        <v>0.848</v>
      </c>
      <c r="C158" t="s">
        <v>101</v>
      </c>
    </row>
    <row r="159" spans="1:3" x14ac:dyDescent="0.25">
      <c r="A159" t="s">
        <v>345</v>
      </c>
      <c r="B159" s="36">
        <v>159</v>
      </c>
      <c r="C159" t="s">
        <v>176</v>
      </c>
    </row>
    <row r="160" spans="1:3" x14ac:dyDescent="0.25">
      <c r="A160" t="s">
        <v>115</v>
      </c>
      <c r="B160" s="36">
        <v>1.6427</v>
      </c>
      <c r="C160" t="s">
        <v>57</v>
      </c>
    </row>
    <row r="161" spans="1:3" x14ac:dyDescent="0.25">
      <c r="A161" t="s">
        <v>346</v>
      </c>
      <c r="B161" s="36">
        <v>420</v>
      </c>
      <c r="C161" t="s">
        <v>176</v>
      </c>
    </row>
    <row r="162" spans="1:3" x14ac:dyDescent="0.25">
      <c r="A162" t="s">
        <v>107</v>
      </c>
      <c r="B162" s="36">
        <v>1.1667</v>
      </c>
      <c r="C162" t="s">
        <v>57</v>
      </c>
    </row>
    <row r="163" spans="1:3" x14ac:dyDescent="0.25">
      <c r="A163" t="s">
        <v>347</v>
      </c>
      <c r="B163" s="36">
        <v>309</v>
      </c>
      <c r="C163" t="s">
        <v>176</v>
      </c>
    </row>
    <row r="164" spans="1:3" x14ac:dyDescent="0.25">
      <c r="A164" t="s">
        <v>348</v>
      </c>
      <c r="B164" s="36">
        <v>0.72</v>
      </c>
      <c r="C164" t="s">
        <v>101</v>
      </c>
    </row>
    <row r="165" spans="1:3" x14ac:dyDescent="0.25">
      <c r="A165" t="s">
        <v>349</v>
      </c>
      <c r="B165" s="36">
        <v>451.5</v>
      </c>
      <c r="C165" t="s">
        <v>258</v>
      </c>
    </row>
    <row r="166" spans="1:3" x14ac:dyDescent="0.25">
      <c r="A166" t="s">
        <v>350</v>
      </c>
      <c r="B166" s="36">
        <v>5.9</v>
      </c>
      <c r="C166" t="s">
        <v>57</v>
      </c>
    </row>
    <row r="167" spans="1:3" x14ac:dyDescent="0.25">
      <c r="A167" t="s">
        <v>70</v>
      </c>
      <c r="B167" s="36">
        <f>IF(ISNUMBER(Ingredients!$I$16),Ingredients!$I$16,0)</f>
        <v>0</v>
      </c>
      <c r="C167" t="s">
        <v>57</v>
      </c>
    </row>
    <row r="168" spans="1:3" x14ac:dyDescent="0.25">
      <c r="A168" t="s">
        <v>351</v>
      </c>
      <c r="B168" s="36">
        <v>5</v>
      </c>
      <c r="C168" t="s">
        <v>212</v>
      </c>
    </row>
    <row r="169" spans="1:3" x14ac:dyDescent="0.25">
      <c r="A169" t="s">
        <v>352</v>
      </c>
      <c r="B169" s="36">
        <v>1.6</v>
      </c>
      <c r="C169" t="s">
        <v>212</v>
      </c>
    </row>
    <row r="170" spans="1:3" x14ac:dyDescent="0.25">
      <c r="A170" t="s">
        <v>353</v>
      </c>
      <c r="B170" s="36">
        <v>349</v>
      </c>
      <c r="C170" t="s">
        <v>195</v>
      </c>
    </row>
    <row r="171" spans="1:3" x14ac:dyDescent="0.25">
      <c r="A171" t="s">
        <v>354</v>
      </c>
      <c r="B171" s="36">
        <v>0.0015</v>
      </c>
      <c r="C171" t="s">
        <v>57</v>
      </c>
    </row>
    <row r="172" spans="1:3" x14ac:dyDescent="0.25">
      <c r="A172" t="s">
        <v>355</v>
      </c>
      <c r="B172" s="36">
        <v>1.5</v>
      </c>
      <c r="C172" t="s">
        <v>176</v>
      </c>
    </row>
    <row r="173" spans="1:3" x14ac:dyDescent="0.25">
      <c r="A173" t="s">
        <v>356</v>
      </c>
      <c r="B173" s="36">
        <v>7.0714</v>
      </c>
      <c r="C173" t="s">
        <v>176</v>
      </c>
    </row>
    <row r="174" spans="1:3" x14ac:dyDescent="0.25">
      <c r="A174" t="s">
        <v>357</v>
      </c>
      <c r="B174" s="36">
        <v>0.1585</v>
      </c>
      <c r="C174" t="s">
        <v>57</v>
      </c>
    </row>
    <row r="175" spans="1:3" x14ac:dyDescent="0.25">
      <c r="A175" t="s">
        <v>358</v>
      </c>
      <c r="B175" s="36">
        <v>82</v>
      </c>
      <c r="C175" t="s">
        <v>176</v>
      </c>
    </row>
    <row r="176" spans="1:3" x14ac:dyDescent="0.25">
      <c r="A176" t="s">
        <v>359</v>
      </c>
      <c r="B176" s="36">
        <v>147.25</v>
      </c>
      <c r="C176" t="s">
        <v>190</v>
      </c>
    </row>
    <row r="177" spans="1:3" x14ac:dyDescent="0.25">
      <c r="A177" t="s">
        <v>360</v>
      </c>
      <c r="B177" s="36">
        <v>8.0952</v>
      </c>
      <c r="C177" t="s">
        <v>178</v>
      </c>
    </row>
    <row r="178" spans="1:3" x14ac:dyDescent="0.25">
      <c r="A178" t="s">
        <v>361</v>
      </c>
      <c r="B178" s="36">
        <v>61</v>
      </c>
      <c r="C178" t="s">
        <v>212</v>
      </c>
    </row>
    <row r="179" spans="1:3" x14ac:dyDescent="0.25">
      <c r="A179" t="s">
        <v>362</v>
      </c>
      <c r="B179" s="36">
        <v>0.1445</v>
      </c>
      <c r="C179" t="s">
        <v>57</v>
      </c>
    </row>
    <row r="180" spans="1:3" x14ac:dyDescent="0.25">
      <c r="A180" t="s">
        <v>363</v>
      </c>
      <c r="B180" s="36">
        <v>0.1365</v>
      </c>
      <c r="C180" t="s">
        <v>57</v>
      </c>
    </row>
    <row r="181" spans="1:3" x14ac:dyDescent="0.25">
      <c r="A181" t="s">
        <v>364</v>
      </c>
      <c r="B181" s="36">
        <v>57.25</v>
      </c>
      <c r="C181" t="s">
        <v>212</v>
      </c>
    </row>
    <row r="182" spans="1:3" x14ac:dyDescent="0.25">
      <c r="A182" t="s">
        <v>365</v>
      </c>
      <c r="B182" s="36">
        <v>43.75</v>
      </c>
      <c r="C182" t="s">
        <v>212</v>
      </c>
    </row>
    <row r="183" spans="1:3" x14ac:dyDescent="0.25">
      <c r="A183" t="s">
        <v>366</v>
      </c>
      <c r="B183" s="36">
        <v>0.395</v>
      </c>
      <c r="C183" t="s">
        <v>57</v>
      </c>
    </row>
    <row r="184" spans="1:3" x14ac:dyDescent="0.25">
      <c r="A184" t="s">
        <v>367</v>
      </c>
      <c r="B184" s="36">
        <v>1.1667</v>
      </c>
      <c r="C184" t="s">
        <v>57</v>
      </c>
    </row>
    <row r="185" spans="1:3" x14ac:dyDescent="0.25">
      <c r="A185" t="s">
        <v>368</v>
      </c>
      <c r="B185" s="36">
        <v>68</v>
      </c>
      <c r="C185" t="s">
        <v>176</v>
      </c>
    </row>
    <row r="186" spans="1:3" x14ac:dyDescent="0.25">
      <c r="A186" t="s">
        <v>369</v>
      </c>
      <c r="B186" s="36">
        <v>67</v>
      </c>
      <c r="C186" t="s">
        <v>176</v>
      </c>
    </row>
    <row r="187" spans="1:3" x14ac:dyDescent="0.25">
      <c r="A187" t="s">
        <v>72</v>
      </c>
      <c r="B187" s="36">
        <f>IF(ISNUMBER(Ingredients!$I$17),Ingredients!$I$17,0)</f>
        <v>0</v>
      </c>
      <c r="C187" t="s">
        <v>57</v>
      </c>
    </row>
    <row r="188" spans="1:3" x14ac:dyDescent="0.25">
      <c r="A188" t="s">
        <v>370</v>
      </c>
      <c r="B188" s="36">
        <v>0.4091</v>
      </c>
      <c r="C188" t="s">
        <v>57</v>
      </c>
    </row>
    <row r="189" spans="1:3" x14ac:dyDescent="0.25">
      <c r="A189" t="s">
        <v>371</v>
      </c>
      <c r="B189" s="36">
        <v>0.1267</v>
      </c>
      <c r="C189" t="s">
        <v>57</v>
      </c>
    </row>
    <row r="190" spans="1:3" x14ac:dyDescent="0.25">
      <c r="A190" t="s">
        <v>372</v>
      </c>
      <c r="B190" s="36">
        <v>69</v>
      </c>
      <c r="C190" t="s">
        <v>190</v>
      </c>
    </row>
    <row r="191" spans="1:3" x14ac:dyDescent="0.25">
      <c r="A191" t="s">
        <v>373</v>
      </c>
      <c r="B191" s="36">
        <v>0.5667</v>
      </c>
      <c r="C191" t="s">
        <v>57</v>
      </c>
    </row>
    <row r="192" spans="1:3" x14ac:dyDescent="0.25">
      <c r="A192" t="s">
        <v>374</v>
      </c>
      <c r="B192" s="36">
        <v>76.75</v>
      </c>
      <c r="C192" t="s">
        <v>212</v>
      </c>
    </row>
    <row r="193" spans="1:3" x14ac:dyDescent="0.25">
      <c r="A193" t="s">
        <v>375</v>
      </c>
      <c r="B193" s="36">
        <v>506.65</v>
      </c>
      <c r="C193" t="s">
        <v>176</v>
      </c>
    </row>
    <row r="194" spans="1:3" x14ac:dyDescent="0.25">
      <c r="A194" t="s">
        <v>376</v>
      </c>
      <c r="B194" s="36">
        <v>0.3395</v>
      </c>
      <c r="C194" t="s">
        <v>101</v>
      </c>
    </row>
    <row r="195" spans="1:3" x14ac:dyDescent="0.25">
      <c r="A195" t="s">
        <v>111</v>
      </c>
      <c r="B195" s="36">
        <v>0.3395</v>
      </c>
      <c r="C195" t="s">
        <v>101</v>
      </c>
    </row>
    <row r="196" spans="1:3" x14ac:dyDescent="0.25">
      <c r="A196" t="s">
        <v>377</v>
      </c>
      <c r="B196" s="36">
        <v>0.8548</v>
      </c>
      <c r="C196" t="s">
        <v>57</v>
      </c>
    </row>
    <row r="197" spans="1:3" x14ac:dyDescent="0.25">
      <c r="A197" t="s">
        <v>378</v>
      </c>
      <c r="B197" s="36">
        <v>6.897</v>
      </c>
      <c r="C197" t="s">
        <v>57</v>
      </c>
    </row>
    <row r="198" spans="1:3" x14ac:dyDescent="0.25">
      <c r="A198" t="s">
        <v>379</v>
      </c>
      <c r="B198" s="36">
        <v>0.3371</v>
      </c>
      <c r="C198" t="s">
        <v>57</v>
      </c>
    </row>
    <row r="199" spans="1:3" x14ac:dyDescent="0.25">
      <c r="A199" t="s">
        <v>380</v>
      </c>
      <c r="B199" s="36">
        <v>1.6427</v>
      </c>
      <c r="C199" t="s">
        <v>57</v>
      </c>
    </row>
    <row r="200" spans="1:3" x14ac:dyDescent="0.25">
      <c r="A200" t="s">
        <v>381</v>
      </c>
      <c r="B200" s="36">
        <v>320</v>
      </c>
      <c r="C200" t="s">
        <v>212</v>
      </c>
    </row>
    <row r="201" spans="1:3" x14ac:dyDescent="0.25">
      <c r="A201" t="s">
        <v>382</v>
      </c>
      <c r="B201" s="36">
        <v>0.9503</v>
      </c>
      <c r="C201" t="s">
        <v>101</v>
      </c>
    </row>
    <row r="202" spans="1:3" x14ac:dyDescent="0.25">
      <c r="A202" t="s">
        <v>383</v>
      </c>
      <c r="B202" s="36">
        <v>0.8475</v>
      </c>
      <c r="C202" t="s">
        <v>57</v>
      </c>
    </row>
    <row r="203" spans="1:3" x14ac:dyDescent="0.25">
      <c r="A203" t="s">
        <v>384</v>
      </c>
      <c r="B203" s="36">
        <v>25</v>
      </c>
      <c r="C203" t="s">
        <v>212</v>
      </c>
    </row>
    <row r="204" spans="1:3" x14ac:dyDescent="0.25">
      <c r="A204" t="s">
        <v>385</v>
      </c>
      <c r="B204" s="36">
        <v>1790.1235</v>
      </c>
      <c r="C204" t="s">
        <v>57</v>
      </c>
    </row>
    <row r="205" spans="1:3" x14ac:dyDescent="0.25">
      <c r="A205" t="s">
        <v>386</v>
      </c>
      <c r="B205" s="36">
        <v>0.2671</v>
      </c>
      <c r="C205" t="s">
        <v>101</v>
      </c>
    </row>
    <row r="206" spans="1:3" x14ac:dyDescent="0.25">
      <c r="A206" t="s">
        <v>387</v>
      </c>
      <c r="B206" s="36">
        <v>1</v>
      </c>
      <c r="C206" t="s">
        <v>57</v>
      </c>
    </row>
    <row r="207" spans="1:3" x14ac:dyDescent="0.25">
      <c r="A207" t="s">
        <v>388</v>
      </c>
      <c r="B207" s="36">
        <v>1</v>
      </c>
      <c r="C207" t="s">
        <v>57</v>
      </c>
    </row>
    <row r="208" spans="1:3" x14ac:dyDescent="0.25">
      <c r="A208" t="s">
        <v>389</v>
      </c>
      <c r="B208" s="36">
        <v>0.7733</v>
      </c>
      <c r="C208" t="s">
        <v>57</v>
      </c>
    </row>
    <row r="209" spans="1:3" x14ac:dyDescent="0.25">
      <c r="A209" t="s">
        <v>390</v>
      </c>
      <c r="B209" s="36">
        <v>0.3133</v>
      </c>
      <c r="C209" t="s">
        <v>101</v>
      </c>
    </row>
    <row r="210" spans="1:3" x14ac:dyDescent="0.25">
      <c r="A210" t="s">
        <v>391</v>
      </c>
      <c r="B210" s="36">
        <v>1.55</v>
      </c>
      <c r="C210" t="s">
        <v>57</v>
      </c>
    </row>
    <row r="211" spans="1:3" x14ac:dyDescent="0.25">
      <c r="A211" t="s">
        <v>392</v>
      </c>
      <c r="B211" s="36">
        <v>0.2343</v>
      </c>
      <c r="C211" t="s">
        <v>57</v>
      </c>
    </row>
    <row r="212" spans="1:3" x14ac:dyDescent="0.25">
      <c r="A212" t="s">
        <v>393</v>
      </c>
      <c r="B212" s="36">
        <v>0.3124</v>
      </c>
      <c r="C212" t="s">
        <v>57</v>
      </c>
    </row>
    <row r="213" spans="1:3" x14ac:dyDescent="0.25">
      <c r="A213" t="s">
        <v>394</v>
      </c>
      <c r="B213" s="36">
        <v>194.68</v>
      </c>
      <c r="C213" t="s">
        <v>176</v>
      </c>
    </row>
    <row r="214" spans="1:3" x14ac:dyDescent="0.25">
      <c r="A214" t="s">
        <v>395</v>
      </c>
      <c r="B214" s="36">
        <v>0.516</v>
      </c>
      <c r="C214" t="s">
        <v>57</v>
      </c>
    </row>
    <row r="215" spans="1:3" x14ac:dyDescent="0.25">
      <c r="A215" t="s">
        <v>396</v>
      </c>
      <c r="B215" s="36">
        <v>301.4444</v>
      </c>
      <c r="C215" t="s">
        <v>190</v>
      </c>
    </row>
    <row r="216" spans="1:3" x14ac:dyDescent="0.25">
      <c r="A216" t="s">
        <v>397</v>
      </c>
      <c r="B216" s="36">
        <v>0.3229</v>
      </c>
      <c r="C216" t="s">
        <v>57</v>
      </c>
    </row>
    <row r="217" spans="1:3" x14ac:dyDescent="0.25">
      <c r="A217" t="s">
        <v>398</v>
      </c>
      <c r="B217" s="36">
        <v>0.2344</v>
      </c>
      <c r="C217" t="s">
        <v>57</v>
      </c>
    </row>
    <row r="218" spans="1:3" x14ac:dyDescent="0.25">
      <c r="A218" t="s">
        <v>399</v>
      </c>
      <c r="B218" s="36">
        <v>0.4589</v>
      </c>
      <c r="C218" t="s">
        <v>57</v>
      </c>
    </row>
    <row r="219" spans="1:3" x14ac:dyDescent="0.25">
      <c r="A219" t="s">
        <v>400</v>
      </c>
      <c r="B219" s="36">
        <v>0.4255</v>
      </c>
      <c r="C219" t="s">
        <v>101</v>
      </c>
    </row>
    <row r="220" spans="1:3" x14ac:dyDescent="0.25">
      <c r="A220" t="s">
        <v>401</v>
      </c>
      <c r="B220" s="36">
        <v>136.25</v>
      </c>
      <c r="C220" t="s">
        <v>212</v>
      </c>
    </row>
    <row r="221" spans="1:3" x14ac:dyDescent="0.25">
      <c r="A221" t="s">
        <v>402</v>
      </c>
      <c r="B221" s="36">
        <v>2.864</v>
      </c>
      <c r="C221" t="s">
        <v>57</v>
      </c>
    </row>
    <row r="222" spans="1:3" x14ac:dyDescent="0.25">
      <c r="A222" t="s">
        <v>403</v>
      </c>
      <c r="B222" s="36">
        <v>0.1364</v>
      </c>
      <c r="C222" t="s">
        <v>57</v>
      </c>
    </row>
    <row r="223" spans="1:3" x14ac:dyDescent="0.25">
      <c r="A223" t="s">
        <v>404</v>
      </c>
      <c r="B223" s="36">
        <v>1.8458</v>
      </c>
      <c r="C223" t="s">
        <v>57</v>
      </c>
    </row>
    <row r="224" spans="1:3" x14ac:dyDescent="0.25">
      <c r="A224" t="s">
        <v>405</v>
      </c>
      <c r="B224" s="36">
        <v>2.0851</v>
      </c>
      <c r="C224" t="s">
        <v>57</v>
      </c>
    </row>
    <row r="225" spans="1:3" x14ac:dyDescent="0.25">
      <c r="A225" t="s">
        <v>406</v>
      </c>
      <c r="B225" s="36">
        <v>56</v>
      </c>
      <c r="C225" t="s">
        <v>176</v>
      </c>
    </row>
    <row r="226" spans="1:3" x14ac:dyDescent="0.25">
      <c r="A226" t="s">
        <v>407</v>
      </c>
      <c r="B226" s="36">
        <v>73</v>
      </c>
      <c r="C226" t="s">
        <v>212</v>
      </c>
    </row>
    <row r="227" spans="1:3" x14ac:dyDescent="0.25">
      <c r="A227" t="s">
        <v>408</v>
      </c>
      <c r="B227" s="36">
        <v>1.7538</v>
      </c>
      <c r="C227" t="s">
        <v>57</v>
      </c>
    </row>
    <row r="228" spans="1:3" x14ac:dyDescent="0.25">
      <c r="A228" t="s">
        <v>409</v>
      </c>
      <c r="B228" s="36">
        <v>23.9</v>
      </c>
      <c r="C228" t="s">
        <v>57</v>
      </c>
    </row>
    <row r="229" spans="1:3" x14ac:dyDescent="0.25">
      <c r="A229" t="s">
        <v>410</v>
      </c>
      <c r="B229" s="36">
        <v>150</v>
      </c>
      <c r="C229" t="s">
        <v>212</v>
      </c>
    </row>
    <row r="230" spans="1:3" x14ac:dyDescent="0.25">
      <c r="A230" t="s">
        <v>411</v>
      </c>
      <c r="B230" s="36">
        <v>129.75</v>
      </c>
      <c r="C230" t="s">
        <v>212</v>
      </c>
    </row>
    <row r="231" spans="1:3" x14ac:dyDescent="0.25">
      <c r="A231" t="s">
        <v>412</v>
      </c>
      <c r="B231" s="36">
        <v>290</v>
      </c>
      <c r="C231" t="s">
        <v>176</v>
      </c>
    </row>
    <row r="232" spans="1:3" x14ac:dyDescent="0.25">
      <c r="A232" t="s">
        <v>413</v>
      </c>
      <c r="B232" s="36">
        <v>132</v>
      </c>
      <c r="C232" t="s">
        <v>176</v>
      </c>
    </row>
    <row r="233" spans="1:3" x14ac:dyDescent="0.25">
      <c r="A233" t="s">
        <v>414</v>
      </c>
      <c r="B233" s="36">
        <v>0.235</v>
      </c>
      <c r="C233" t="s">
        <v>57</v>
      </c>
    </row>
    <row r="234" spans="1:3" x14ac:dyDescent="0.25">
      <c r="A234" t="s">
        <v>415</v>
      </c>
      <c r="B234" s="36">
        <v>316.6667</v>
      </c>
      <c r="C234" t="s">
        <v>176</v>
      </c>
    </row>
    <row r="235" spans="1:3" x14ac:dyDescent="0.25">
      <c r="A235" t="s">
        <v>416</v>
      </c>
      <c r="B235" s="36">
        <v>0.3167</v>
      </c>
      <c r="C235" t="s">
        <v>57</v>
      </c>
    </row>
    <row r="236" spans="1:3" x14ac:dyDescent="0.25">
      <c r="A236" t="s">
        <v>417</v>
      </c>
      <c r="B236" s="36">
        <v>4.2</v>
      </c>
      <c r="C236" t="s">
        <v>212</v>
      </c>
    </row>
    <row r="237" spans="1:3" x14ac:dyDescent="0.25">
      <c r="A237" t="s">
        <v>418</v>
      </c>
      <c r="B237" s="36">
        <v>228.6857</v>
      </c>
      <c r="C237" t="s">
        <v>190</v>
      </c>
    </row>
    <row r="238" spans="1:3" x14ac:dyDescent="0.25">
      <c r="A238" t="s">
        <v>419</v>
      </c>
      <c r="B238" s="36">
        <v>0.67</v>
      </c>
      <c r="C238" t="s">
        <v>101</v>
      </c>
    </row>
    <row r="239" spans="1:3" x14ac:dyDescent="0.25">
      <c r="A239" t="s">
        <v>420</v>
      </c>
      <c r="B239" s="36">
        <v>0.345</v>
      </c>
      <c r="C239" t="s">
        <v>101</v>
      </c>
    </row>
    <row r="240" spans="1:3" x14ac:dyDescent="0.25">
      <c r="A240" t="s">
        <v>421</v>
      </c>
      <c r="B240" s="36">
        <v>345</v>
      </c>
      <c r="C240" t="s">
        <v>190</v>
      </c>
    </row>
    <row r="241" spans="1:3" x14ac:dyDescent="0.25">
      <c r="A241" t="s">
        <v>422</v>
      </c>
      <c r="B241" s="36">
        <v>225</v>
      </c>
      <c r="C241" t="s">
        <v>212</v>
      </c>
    </row>
    <row r="242" spans="1:3" x14ac:dyDescent="0.25">
      <c r="A242" t="s">
        <v>423</v>
      </c>
      <c r="B242" s="36">
        <v>0.6913</v>
      </c>
      <c r="C242" t="s">
        <v>57</v>
      </c>
    </row>
    <row r="243" spans="1:3" x14ac:dyDescent="0.25">
      <c r="A243" t="s">
        <v>424</v>
      </c>
      <c r="B243" s="36">
        <v>195</v>
      </c>
      <c r="C243" t="s">
        <v>258</v>
      </c>
    </row>
    <row r="244" spans="1:3" x14ac:dyDescent="0.25">
      <c r="A244" t="s">
        <v>425</v>
      </c>
      <c r="B244" s="36">
        <v>0.6085</v>
      </c>
      <c r="C244" t="s">
        <v>101</v>
      </c>
    </row>
    <row r="245" spans="1:3" x14ac:dyDescent="0.25">
      <c r="A245" t="s">
        <v>426</v>
      </c>
      <c r="B245" s="36">
        <v>0.575</v>
      </c>
      <c r="C245" t="s">
        <v>101</v>
      </c>
    </row>
    <row r="246" spans="1:3" x14ac:dyDescent="0.25">
      <c r="A246" t="s">
        <v>427</v>
      </c>
      <c r="B246" s="36">
        <v>300</v>
      </c>
      <c r="C246" t="s">
        <v>190</v>
      </c>
    </row>
    <row r="247" spans="1:3" x14ac:dyDescent="0.25">
      <c r="A247" t="s">
        <v>428</v>
      </c>
      <c r="B247" s="36">
        <v>240</v>
      </c>
      <c r="C247" t="s">
        <v>212</v>
      </c>
    </row>
    <row r="248" spans="1:3" x14ac:dyDescent="0.25">
      <c r="A248" t="s">
        <v>429</v>
      </c>
      <c r="B248" s="36">
        <v>24</v>
      </c>
      <c r="C248" t="s">
        <v>212</v>
      </c>
    </row>
    <row r="249" spans="1:3" x14ac:dyDescent="0.25">
      <c r="A249" t="s">
        <v>430</v>
      </c>
      <c r="B249" s="36">
        <v>0.5679</v>
      </c>
      <c r="C249" t="s">
        <v>57</v>
      </c>
    </row>
    <row r="250" spans="1:3" x14ac:dyDescent="0.25">
      <c r="A250" t="s">
        <v>431</v>
      </c>
      <c r="B250" s="36">
        <v>0.737</v>
      </c>
      <c r="C250" t="s">
        <v>57</v>
      </c>
    </row>
    <row r="251" spans="1:3" x14ac:dyDescent="0.25">
      <c r="A251" t="s">
        <v>432</v>
      </c>
      <c r="B251" s="36">
        <v>1.2375</v>
      </c>
      <c r="C251" t="s">
        <v>57</v>
      </c>
    </row>
    <row r="252" spans="1:3" x14ac:dyDescent="0.25">
      <c r="A252" t="s">
        <v>433</v>
      </c>
      <c r="B252" s="36">
        <v>1.98</v>
      </c>
      <c r="C252" t="s">
        <v>57</v>
      </c>
    </row>
    <row r="253" spans="1:3" x14ac:dyDescent="0.25">
      <c r="A253" t="s">
        <v>434</v>
      </c>
      <c r="B253" s="36">
        <v>206.6038</v>
      </c>
      <c r="C253" t="s">
        <v>176</v>
      </c>
    </row>
    <row r="254" spans="1:3" x14ac:dyDescent="0.25">
      <c r="A254" t="s">
        <v>435</v>
      </c>
      <c r="B254" s="36">
        <v>1.3625</v>
      </c>
      <c r="C254" t="s">
        <v>57</v>
      </c>
    </row>
    <row r="255" spans="1:3" x14ac:dyDescent="0.25">
      <c r="A255" t="s">
        <v>436</v>
      </c>
      <c r="B255" s="36">
        <v>0.745</v>
      </c>
      <c r="C255" t="s">
        <v>57</v>
      </c>
    </row>
    <row r="256" spans="1:3" x14ac:dyDescent="0.25">
      <c r="A256" t="s">
        <v>437</v>
      </c>
      <c r="B256" s="36">
        <v>1.516</v>
      </c>
      <c r="C256" t="s">
        <v>57</v>
      </c>
    </row>
    <row r="257" spans="1:3" x14ac:dyDescent="0.25">
      <c r="A257" t="s">
        <v>438</v>
      </c>
      <c r="B257" s="36">
        <v>83.75</v>
      </c>
      <c r="C257" t="s">
        <v>212</v>
      </c>
    </row>
    <row r="258" spans="1:3" x14ac:dyDescent="0.25">
      <c r="A258" t="s">
        <v>439</v>
      </c>
      <c r="B258" s="36">
        <v>0.185</v>
      </c>
      <c r="C258" t="s">
        <v>176</v>
      </c>
    </row>
    <row r="259" spans="1:3" x14ac:dyDescent="0.25">
      <c r="A259" t="s">
        <v>440</v>
      </c>
      <c r="B259" s="36">
        <v>0.29</v>
      </c>
      <c r="C259" t="s">
        <v>57</v>
      </c>
    </row>
    <row r="260" spans="1:3" x14ac:dyDescent="0.25">
      <c r="A260" t="s">
        <v>441</v>
      </c>
      <c r="B260" s="36">
        <v>0.284</v>
      </c>
      <c r="C260" t="s">
        <v>101</v>
      </c>
    </row>
    <row r="261" spans="1:3" x14ac:dyDescent="0.25">
      <c r="A261" t="s">
        <v>442</v>
      </c>
      <c r="B261" s="36">
        <v>69</v>
      </c>
      <c r="C261" t="s">
        <v>212</v>
      </c>
    </row>
    <row r="262" spans="1:3" x14ac:dyDescent="0.25">
      <c r="A262" t="s">
        <v>443</v>
      </c>
      <c r="B262" s="36">
        <v>0.625</v>
      </c>
      <c r="C262" t="s">
        <v>57</v>
      </c>
    </row>
    <row r="263" spans="1:3" x14ac:dyDescent="0.25">
      <c r="A263" t="s">
        <v>444</v>
      </c>
      <c r="B263" s="36">
        <v>0.1262</v>
      </c>
      <c r="C263" t="s">
        <v>57</v>
      </c>
    </row>
    <row r="264" spans="1:3" x14ac:dyDescent="0.25">
      <c r="A264" t="s">
        <v>445</v>
      </c>
      <c r="B264" s="36">
        <v>82</v>
      </c>
      <c r="C264" t="s">
        <v>195</v>
      </c>
    </row>
    <row r="265" spans="1:3" x14ac:dyDescent="0.25">
      <c r="A265" t="s">
        <v>446</v>
      </c>
      <c r="B265" s="36">
        <v>0.1464</v>
      </c>
      <c r="C265" t="s">
        <v>57</v>
      </c>
    </row>
    <row r="266" spans="1:3" x14ac:dyDescent="0.25">
      <c r="A266" t="s">
        <v>447</v>
      </c>
      <c r="B266" s="36">
        <v>0.145</v>
      </c>
      <c r="C266" t="s">
        <v>101</v>
      </c>
    </row>
    <row r="267" spans="1:3" x14ac:dyDescent="0.25">
      <c r="A267" t="s">
        <v>448</v>
      </c>
      <c r="B267" s="36">
        <v>175</v>
      </c>
      <c r="C267" t="s">
        <v>212</v>
      </c>
    </row>
    <row r="268" spans="1:3" x14ac:dyDescent="0.25">
      <c r="A268" t="s">
        <v>74</v>
      </c>
      <c r="B268" s="36">
        <f>IF(ISNUMBER(Ingredients!$I$18),Ingredients!$I$18,0)</f>
        <v>0</v>
      </c>
      <c r="C268" t="s">
        <v>57</v>
      </c>
    </row>
    <row r="269" spans="1:3" x14ac:dyDescent="0.25">
      <c r="A269" t="s">
        <v>119</v>
      </c>
      <c r="B269" s="36">
        <v>0.737</v>
      </c>
      <c r="C269" t="s">
        <v>57</v>
      </c>
    </row>
    <row r="270" spans="1:3" x14ac:dyDescent="0.25">
      <c r="A270" t="s">
        <v>449</v>
      </c>
      <c r="B270" s="36">
        <v>188</v>
      </c>
      <c r="C270" t="s">
        <v>212</v>
      </c>
    </row>
    <row r="271" spans="1:3" x14ac:dyDescent="0.25">
      <c r="A271" t="s">
        <v>450</v>
      </c>
      <c r="B271" s="36">
        <v>0.3965</v>
      </c>
      <c r="C271" t="s">
        <v>57</v>
      </c>
    </row>
    <row r="272" spans="1:3" x14ac:dyDescent="0.25">
      <c r="A272" t="s">
        <v>451</v>
      </c>
      <c r="B272" s="36">
        <v>89</v>
      </c>
      <c r="C272" t="s">
        <v>195</v>
      </c>
    </row>
    <row r="273" spans="1:3" x14ac:dyDescent="0.25">
      <c r="A273" t="s">
        <v>75</v>
      </c>
      <c r="B273" s="36">
        <f>IF(ISNUMBER(Ingredients!$I$19),Ingredients!$I$19,0)</f>
        <v>0</v>
      </c>
      <c r="C273" t="s">
        <v>57</v>
      </c>
    </row>
    <row r="274" spans="1:3" x14ac:dyDescent="0.25">
      <c r="A274" t="s">
        <v>76</v>
      </c>
      <c r="B274" s="36">
        <f>IF(ISNUMBER(Ingredients!$I$20),Ingredients!$I$20,0)</f>
        <v>0</v>
      </c>
      <c r="C274" t="s">
        <v>57</v>
      </c>
    </row>
    <row r="275" spans="1:3" x14ac:dyDescent="0.25">
      <c r="A275" t="s">
        <v>113</v>
      </c>
      <c r="B275" s="36">
        <v>1.4185</v>
      </c>
      <c r="C275" t="s">
        <v>57</v>
      </c>
    </row>
    <row r="276" spans="1:3" x14ac:dyDescent="0.25">
      <c r="A276" t="s">
        <v>78</v>
      </c>
      <c r="B276" s="36">
        <f>IF(ISNUMBER(Ingredients!$I$21),Ingredients!$I$21,0)</f>
        <v>0</v>
      </c>
      <c r="C276" t="s">
        <v>57</v>
      </c>
    </row>
    <row r="277" spans="1:3" x14ac:dyDescent="0.25">
      <c r="A277" t="s">
        <v>452</v>
      </c>
      <c r="B277" s="36">
        <v>0.1433</v>
      </c>
      <c r="C277" t="s">
        <v>57</v>
      </c>
    </row>
    <row r="278" spans="1:3" x14ac:dyDescent="0.25">
      <c r="A278" t="s">
        <v>80</v>
      </c>
      <c r="B278" s="36">
        <f>IF(ISNUMBER(Ingredients!$I$22),Ingredients!$I$22,0)</f>
        <v>0</v>
      </c>
      <c r="C278" t="s">
        <v>57</v>
      </c>
    </row>
    <row r="279" spans="1:3" x14ac:dyDescent="0.25">
      <c r="A279" t="s">
        <v>453</v>
      </c>
      <c r="B279" s="36">
        <v>0.148</v>
      </c>
      <c r="C279" t="s">
        <v>57</v>
      </c>
    </row>
    <row r="280" spans="1:3" x14ac:dyDescent="0.25">
      <c r="A280" t="s">
        <v>454</v>
      </c>
      <c r="B280" s="36">
        <v>6</v>
      </c>
      <c r="C280" t="s">
        <v>212</v>
      </c>
    </row>
    <row r="281" spans="1:3" x14ac:dyDescent="0.25">
      <c r="A281" t="s">
        <v>455</v>
      </c>
      <c r="B281" s="36">
        <v>0.456</v>
      </c>
      <c r="C281" t="s">
        <v>57</v>
      </c>
    </row>
    <row r="282" spans="1:3" x14ac:dyDescent="0.25">
      <c r="A282" t="s">
        <v>456</v>
      </c>
      <c r="B282" s="36">
        <v>50</v>
      </c>
      <c r="C282" t="s">
        <v>212</v>
      </c>
    </row>
    <row r="283" spans="1:3" x14ac:dyDescent="0.25">
      <c r="A283" t="s">
        <v>457</v>
      </c>
      <c r="B283" s="36">
        <v>96</v>
      </c>
      <c r="C283" t="s">
        <v>195</v>
      </c>
    </row>
    <row r="284" spans="1:3" x14ac:dyDescent="0.25">
      <c r="A284" t="s">
        <v>458</v>
      </c>
      <c r="B284" s="36">
        <v>0.48</v>
      </c>
      <c r="C284" t="s">
        <v>176</v>
      </c>
    </row>
    <row r="285" spans="1:3" x14ac:dyDescent="0.25">
      <c r="A285" t="s">
        <v>459</v>
      </c>
      <c r="B285" s="36">
        <v>0.16</v>
      </c>
      <c r="C285" t="s">
        <v>57</v>
      </c>
    </row>
    <row r="286" spans="1:3" x14ac:dyDescent="0.25">
      <c r="A286" t="s">
        <v>460</v>
      </c>
      <c r="B286" s="36">
        <v>170</v>
      </c>
      <c r="C286" t="s">
        <v>212</v>
      </c>
    </row>
    <row r="287" spans="1:3" x14ac:dyDescent="0.25">
      <c r="A287" t="s">
        <v>461</v>
      </c>
      <c r="B287" s="36">
        <v>165</v>
      </c>
      <c r="C287" t="s">
        <v>176</v>
      </c>
    </row>
    <row r="288" spans="1:3" x14ac:dyDescent="0.25">
      <c r="A288" t="s">
        <v>462</v>
      </c>
      <c r="B288" s="36">
        <v>0.258</v>
      </c>
      <c r="C288" t="s">
        <v>57</v>
      </c>
    </row>
    <row r="289" spans="1:3" x14ac:dyDescent="0.25">
      <c r="A289" t="s">
        <v>463</v>
      </c>
      <c r="B289" s="36">
        <v>175</v>
      </c>
      <c r="C289" t="s">
        <v>176</v>
      </c>
    </row>
    <row r="290" spans="1:3" x14ac:dyDescent="0.25">
      <c r="A290" t="s">
        <v>464</v>
      </c>
      <c r="B290" s="36">
        <v>46</v>
      </c>
      <c r="C290" t="s">
        <v>212</v>
      </c>
    </row>
    <row r="291" spans="1:3" x14ac:dyDescent="0.25">
      <c r="A291" t="s">
        <v>465</v>
      </c>
      <c r="B291" s="36">
        <v>80.75</v>
      </c>
      <c r="C291" t="s">
        <v>212</v>
      </c>
    </row>
    <row r="292" spans="1:3" x14ac:dyDescent="0.25">
      <c r="A292" t="s">
        <v>466</v>
      </c>
      <c r="B292" s="36">
        <v>11.738</v>
      </c>
      <c r="C292" t="s">
        <v>57</v>
      </c>
    </row>
    <row r="293" spans="1:3" x14ac:dyDescent="0.25">
      <c r="A293" t="s">
        <v>467</v>
      </c>
      <c r="B293" s="36">
        <v>4.62</v>
      </c>
      <c r="C293" t="s">
        <v>212</v>
      </c>
    </row>
    <row r="294" spans="1:3" x14ac:dyDescent="0.25">
      <c r="A294" t="s">
        <v>468</v>
      </c>
      <c r="B294" s="36">
        <v>183</v>
      </c>
      <c r="C294" t="s">
        <v>176</v>
      </c>
    </row>
    <row r="295" spans="1:3" x14ac:dyDescent="0.25">
      <c r="A295" t="s">
        <v>469</v>
      </c>
      <c r="B295" s="36">
        <v>0.5529</v>
      </c>
      <c r="C295" t="s">
        <v>57</v>
      </c>
    </row>
    <row r="296" spans="1:3" x14ac:dyDescent="0.25">
      <c r="A296" t="s">
        <v>470</v>
      </c>
      <c r="B296" s="36">
        <v>0.372</v>
      </c>
      <c r="C296" t="s">
        <v>57</v>
      </c>
    </row>
    <row r="297" spans="1:3" x14ac:dyDescent="0.25">
      <c r="A297" t="s">
        <v>471</v>
      </c>
      <c r="B297" s="36">
        <v>7</v>
      </c>
      <c r="C297" t="s">
        <v>472</v>
      </c>
    </row>
    <row r="298" spans="1:3" x14ac:dyDescent="0.25">
      <c r="A298" t="s">
        <v>473</v>
      </c>
      <c r="B298" s="36">
        <v>120</v>
      </c>
      <c r="C298" t="s">
        <v>176</v>
      </c>
    </row>
    <row r="299" spans="1:3" x14ac:dyDescent="0.25">
      <c r="A299" t="s">
        <v>474</v>
      </c>
      <c r="B299" s="36">
        <v>141</v>
      </c>
      <c r="C299" t="s">
        <v>176</v>
      </c>
    </row>
    <row r="300" spans="1:3" x14ac:dyDescent="0.25">
      <c r="A300" t="s">
        <v>475</v>
      </c>
      <c r="B300" s="36">
        <v>209</v>
      </c>
      <c r="C300" t="s">
        <v>212</v>
      </c>
    </row>
    <row r="301" spans="1:3" x14ac:dyDescent="0.25">
      <c r="A301" t="s">
        <v>476</v>
      </c>
      <c r="B301" s="36">
        <v>1.268</v>
      </c>
      <c r="C301" t="s">
        <v>101</v>
      </c>
    </row>
    <row r="302" spans="1:3" x14ac:dyDescent="0.25">
      <c r="A302" t="s">
        <v>477</v>
      </c>
      <c r="B302" s="36">
        <v>22.45</v>
      </c>
      <c r="C302" t="s">
        <v>212</v>
      </c>
    </row>
    <row r="303" spans="1:3" x14ac:dyDescent="0.25">
      <c r="A303" t="s">
        <v>81</v>
      </c>
      <c r="B303" s="36">
        <f>IF(ISNUMBER(Ingredients!$I$23),Ingredients!$I$23,0)</f>
        <v>0</v>
      </c>
      <c r="C303" t="s">
        <v>57</v>
      </c>
    </row>
    <row r="304" spans="1:3" x14ac:dyDescent="0.25">
      <c r="A304" t="s">
        <v>478</v>
      </c>
      <c r="B304" s="36">
        <v>0.1729</v>
      </c>
      <c r="C304" t="s">
        <v>57</v>
      </c>
    </row>
    <row r="305" spans="1:3" x14ac:dyDescent="0.25">
      <c r="A305" t="s">
        <v>479</v>
      </c>
      <c r="B305" s="36">
        <v>0.1747</v>
      </c>
      <c r="C305" t="s">
        <v>57</v>
      </c>
    </row>
    <row r="306" spans="1:3" x14ac:dyDescent="0.25">
      <c r="A306" t="s">
        <v>480</v>
      </c>
      <c r="B306" s="36">
        <v>0.1834</v>
      </c>
      <c r="C306" t="s">
        <v>57</v>
      </c>
    </row>
    <row r="307" spans="1:3" x14ac:dyDescent="0.25">
      <c r="A307" t="s">
        <v>481</v>
      </c>
      <c r="B307" s="36">
        <v>0.1701</v>
      </c>
      <c r="C307" t="s">
        <v>57</v>
      </c>
    </row>
    <row r="308" spans="1:3" x14ac:dyDescent="0.25">
      <c r="A308" t="s">
        <v>482</v>
      </c>
      <c r="B308" s="36">
        <v>1.5061</v>
      </c>
      <c r="C308" t="s">
        <v>57</v>
      </c>
    </row>
    <row r="309" spans="1:3" x14ac:dyDescent="0.25">
      <c r="A309" t="s">
        <v>483</v>
      </c>
      <c r="B309" s="36">
        <v>200</v>
      </c>
      <c r="C309" t="s">
        <v>195</v>
      </c>
    </row>
    <row r="310" spans="1:3" x14ac:dyDescent="0.25">
      <c r="A310" t="s">
        <v>484</v>
      </c>
      <c r="B310" s="36">
        <v>0.146</v>
      </c>
      <c r="C310" t="s">
        <v>101</v>
      </c>
    </row>
    <row r="311" spans="1:3" x14ac:dyDescent="0.25">
      <c r="A311" t="s">
        <v>485</v>
      </c>
      <c r="B311" s="36">
        <v>5.9286</v>
      </c>
      <c r="C311" t="s">
        <v>57</v>
      </c>
    </row>
    <row r="312" spans="1:3" x14ac:dyDescent="0.25">
      <c r="A312" t="s">
        <v>486</v>
      </c>
      <c r="B312" s="36">
        <v>203.5</v>
      </c>
      <c r="C312" t="s">
        <v>190</v>
      </c>
    </row>
    <row r="313" spans="1:3" x14ac:dyDescent="0.25">
      <c r="A313" t="s">
        <v>487</v>
      </c>
      <c r="B313" s="36">
        <v>174.5</v>
      </c>
      <c r="C313" t="s">
        <v>190</v>
      </c>
    </row>
    <row r="314" spans="1:3" x14ac:dyDescent="0.25">
      <c r="A314" t="s">
        <v>108</v>
      </c>
      <c r="B314" s="36">
        <v>0.395</v>
      </c>
      <c r="C314" t="s">
        <v>57</v>
      </c>
    </row>
    <row r="315" spans="1:3" x14ac:dyDescent="0.25">
      <c r="A315" t="s">
        <v>488</v>
      </c>
      <c r="B315" s="36">
        <v>0.264</v>
      </c>
      <c r="C315" t="s">
        <v>57</v>
      </c>
    </row>
    <row r="316" spans="1:3" x14ac:dyDescent="0.25">
      <c r="A316" t="s">
        <v>489</v>
      </c>
      <c r="B316" s="36">
        <v>0.175</v>
      </c>
      <c r="C316" t="s">
        <v>176</v>
      </c>
    </row>
    <row r="317" spans="1:3" x14ac:dyDescent="0.25">
      <c r="A317" t="s">
        <v>490</v>
      </c>
      <c r="B317" s="36">
        <v>37</v>
      </c>
      <c r="C317" t="s">
        <v>195</v>
      </c>
    </row>
    <row r="318" spans="1:3" x14ac:dyDescent="0.25">
      <c r="A318" t="s">
        <v>491</v>
      </c>
      <c r="B318" s="36">
        <v>38</v>
      </c>
      <c r="C318" t="s">
        <v>212</v>
      </c>
    </row>
    <row r="319" spans="1:3" x14ac:dyDescent="0.25">
      <c r="A319" t="s">
        <v>82</v>
      </c>
      <c r="B319" s="36">
        <f>IF(ISNUMBER(Ingredients!$I$24),Ingredients!$I$24,0)</f>
        <v>0</v>
      </c>
      <c r="C319" t="s">
        <v>57</v>
      </c>
    </row>
    <row r="320" spans="1:3" x14ac:dyDescent="0.25">
      <c r="A320" t="s">
        <v>492</v>
      </c>
      <c r="B320" s="36">
        <v>228</v>
      </c>
      <c r="C320" t="s">
        <v>231</v>
      </c>
    </row>
    <row r="321" spans="1:3" x14ac:dyDescent="0.25">
      <c r="A321" t="s">
        <v>493</v>
      </c>
      <c r="B321" s="36">
        <v>0.6115</v>
      </c>
      <c r="C321" t="s">
        <v>57</v>
      </c>
    </row>
    <row r="322" spans="1:3" x14ac:dyDescent="0.25">
      <c r="A322" t="s">
        <v>494</v>
      </c>
      <c r="B322" s="36">
        <v>0.0467</v>
      </c>
      <c r="C322" t="s">
        <v>101</v>
      </c>
    </row>
    <row r="323" spans="1:3" x14ac:dyDescent="0.25">
      <c r="A323" t="s">
        <v>84</v>
      </c>
      <c r="B323" s="36">
        <f>IF(ISNUMBER(Ingredients!$I$25),Ingredients!$I$25,0)</f>
        <v>0</v>
      </c>
      <c r="C323" t="s">
        <v>57</v>
      </c>
    </row>
    <row r="324" spans="1:3" x14ac:dyDescent="0.25">
      <c r="A324" t="s">
        <v>495</v>
      </c>
      <c r="B324" s="36">
        <v>249</v>
      </c>
      <c r="C324" t="s">
        <v>212</v>
      </c>
    </row>
    <row r="325" spans="1:3" x14ac:dyDescent="0.25">
      <c r="A325" t="s">
        <v>496</v>
      </c>
      <c r="B325" s="36">
        <v>0.1267</v>
      </c>
      <c r="C325" t="s">
        <v>57</v>
      </c>
    </row>
    <row r="326" spans="1:3" x14ac:dyDescent="0.25">
      <c r="A326" t="s">
        <v>497</v>
      </c>
      <c r="B326" s="36">
        <v>0.152</v>
      </c>
      <c r="C326" t="s">
        <v>101</v>
      </c>
    </row>
    <row r="327" spans="1:3" x14ac:dyDescent="0.25">
      <c r="A327" t="s">
        <v>498</v>
      </c>
      <c r="B327" s="36">
        <v>1.6429</v>
      </c>
      <c r="C327" t="s">
        <v>212</v>
      </c>
    </row>
    <row r="328" spans="1:3" x14ac:dyDescent="0.25">
      <c r="A328" t="s">
        <v>96</v>
      </c>
      <c r="B328" s="36">
        <v>0.09</v>
      </c>
      <c r="C328" t="s">
        <v>57</v>
      </c>
    </row>
    <row r="329" spans="1:3" x14ac:dyDescent="0.25">
      <c r="A329" t="s">
        <v>499</v>
      </c>
      <c r="B329" s="36">
        <v>0.2759</v>
      </c>
      <c r="C329" t="s">
        <v>57</v>
      </c>
    </row>
    <row r="330" spans="1:3" x14ac:dyDescent="0.25">
      <c r="A330" t="s">
        <v>500</v>
      </c>
      <c r="B330" s="36">
        <v>129.5</v>
      </c>
      <c r="C330" t="s">
        <v>190</v>
      </c>
    </row>
    <row r="331" spans="1:3" x14ac:dyDescent="0.25">
      <c r="A331" t="s">
        <v>501</v>
      </c>
      <c r="B331" s="36">
        <v>112</v>
      </c>
      <c r="C331" t="s">
        <v>195</v>
      </c>
    </row>
    <row r="332" spans="1:3" x14ac:dyDescent="0.25">
      <c r="A332" t="s">
        <v>502</v>
      </c>
      <c r="B332" s="36">
        <v>0.0665</v>
      </c>
      <c r="C332" t="s">
        <v>101</v>
      </c>
    </row>
    <row r="333" spans="1:3" x14ac:dyDescent="0.25">
      <c r="A333" t="s">
        <v>121</v>
      </c>
      <c r="B333" s="36">
        <v>0.0549</v>
      </c>
      <c r="C333" t="s">
        <v>101</v>
      </c>
    </row>
    <row r="334" spans="1:3" x14ac:dyDescent="0.25">
      <c r="A334" t="s">
        <v>503</v>
      </c>
      <c r="B334" s="36">
        <v>0.356</v>
      </c>
      <c r="C334" t="s">
        <v>57</v>
      </c>
    </row>
    <row r="335" spans="1:3" x14ac:dyDescent="0.25">
      <c r="A335" t="s">
        <v>504</v>
      </c>
      <c r="B335" s="36">
        <v>295</v>
      </c>
      <c r="C335" t="s">
        <v>212</v>
      </c>
    </row>
    <row r="336" spans="1:3" x14ac:dyDescent="0.25">
      <c r="A336" t="s">
        <v>505</v>
      </c>
      <c r="B336" s="36">
        <v>460</v>
      </c>
      <c r="C336" t="s">
        <v>176</v>
      </c>
    </row>
    <row r="337" spans="1:3" x14ac:dyDescent="0.25">
      <c r="A337" t="s">
        <v>506</v>
      </c>
      <c r="B337" s="36">
        <v>219</v>
      </c>
      <c r="C337" t="s">
        <v>212</v>
      </c>
    </row>
    <row r="338" spans="1:3" x14ac:dyDescent="0.25">
      <c r="A338" t="s">
        <v>507</v>
      </c>
      <c r="B338" s="36">
        <v>12.184</v>
      </c>
      <c r="C338" t="s">
        <v>212</v>
      </c>
    </row>
    <row r="339" spans="1:3" x14ac:dyDescent="0.25">
      <c r="A339" t="s">
        <v>508</v>
      </c>
      <c r="B339" s="36">
        <v>12.184</v>
      </c>
      <c r="C339" t="s">
        <v>212</v>
      </c>
    </row>
    <row r="340" spans="1:3" x14ac:dyDescent="0.25">
      <c r="A340" t="s">
        <v>509</v>
      </c>
      <c r="B340" s="36">
        <v>12.184</v>
      </c>
      <c r="C340" t="s">
        <v>212</v>
      </c>
    </row>
    <row r="341" spans="1:3" x14ac:dyDescent="0.25">
      <c r="A341" t="s">
        <v>510</v>
      </c>
      <c r="B341" s="36">
        <v>12.602</v>
      </c>
      <c r="C341" t="s">
        <v>212</v>
      </c>
    </row>
    <row r="342" spans="1:3" x14ac:dyDescent="0.25">
      <c r="A342" t="s">
        <v>511</v>
      </c>
      <c r="B342" s="36">
        <v>12.602</v>
      </c>
      <c r="C342" t="s">
        <v>212</v>
      </c>
    </row>
    <row r="343" spans="1:3" x14ac:dyDescent="0.25">
      <c r="A343" t="s">
        <v>512</v>
      </c>
      <c r="B343" s="36">
        <v>0.4425</v>
      </c>
      <c r="C343" t="s">
        <v>101</v>
      </c>
    </row>
    <row r="344" spans="1:3" x14ac:dyDescent="0.25">
      <c r="A344" t="s">
        <v>513</v>
      </c>
      <c r="B344" s="36">
        <v>68.75</v>
      </c>
      <c r="C344" t="s">
        <v>176</v>
      </c>
    </row>
    <row r="345" spans="1:3" x14ac:dyDescent="0.25">
      <c r="A345" t="s">
        <v>514</v>
      </c>
      <c r="B345" s="36">
        <v>44.5</v>
      </c>
      <c r="C345" t="s">
        <v>212</v>
      </c>
    </row>
    <row r="346" spans="1:3" x14ac:dyDescent="0.25">
      <c r="A346" t="s">
        <v>515</v>
      </c>
      <c r="B346" s="36">
        <v>0.72</v>
      </c>
      <c r="C346" t="s">
        <v>101</v>
      </c>
    </row>
    <row r="347" spans="1:3" x14ac:dyDescent="0.25">
      <c r="A347" t="s">
        <v>516</v>
      </c>
      <c r="B347" s="36">
        <v>119.8</v>
      </c>
      <c r="C347" t="s">
        <v>190</v>
      </c>
    </row>
    <row r="348" spans="1:3" x14ac:dyDescent="0.25">
      <c r="A348" t="s">
        <v>517</v>
      </c>
      <c r="B348" s="36">
        <v>2.1933</v>
      </c>
      <c r="C348" t="s">
        <v>212</v>
      </c>
    </row>
    <row r="349" spans="1:3" x14ac:dyDescent="0.25">
      <c r="A349" t="s">
        <v>518</v>
      </c>
      <c r="B349" s="36">
        <v>155</v>
      </c>
      <c r="C349" t="s">
        <v>176</v>
      </c>
    </row>
    <row r="350" spans="1:3" x14ac:dyDescent="0.25">
      <c r="A350" t="s">
        <v>519</v>
      </c>
      <c r="B350" s="36">
        <v>14.3125</v>
      </c>
      <c r="C350" t="s">
        <v>212</v>
      </c>
    </row>
    <row r="351" spans="1:3" x14ac:dyDescent="0.25">
      <c r="A351" t="s">
        <v>98</v>
      </c>
      <c r="B351" s="36">
        <v>0.002</v>
      </c>
      <c r="C351" t="s">
        <v>101</v>
      </c>
    </row>
    <row r="352" spans="1:3" x14ac:dyDescent="0.25">
      <c r="A352" t="s">
        <v>520</v>
      </c>
      <c r="B352" s="36">
        <v>78</v>
      </c>
      <c r="C352" t="s">
        <v>195</v>
      </c>
    </row>
    <row r="353" spans="1:3" x14ac:dyDescent="0.25">
      <c r="A353" t="s">
        <v>521</v>
      </c>
      <c r="B353" s="36">
        <v>0.27</v>
      </c>
      <c r="C353" t="s">
        <v>57</v>
      </c>
    </row>
    <row r="354" spans="1:3" x14ac:dyDescent="0.25">
      <c r="A354" t="s">
        <v>522</v>
      </c>
      <c r="B354" s="36">
        <v>0.695</v>
      </c>
      <c r="C354" t="s">
        <v>101</v>
      </c>
    </row>
    <row r="355" spans="1:3" x14ac:dyDescent="0.25">
      <c r="A355" t="s">
        <v>523</v>
      </c>
      <c r="B355" s="36">
        <v>185</v>
      </c>
      <c r="C355" t="s">
        <v>176</v>
      </c>
    </row>
    <row r="356" spans="1:3" x14ac:dyDescent="0.25">
      <c r="A356" t="s">
        <v>524</v>
      </c>
      <c r="B356" s="36">
        <v>0.09</v>
      </c>
      <c r="C356" t="s">
        <v>57</v>
      </c>
    </row>
    <row r="357" spans="1:3" x14ac:dyDescent="0.25">
      <c r="A357" t="s">
        <v>525</v>
      </c>
      <c r="B357" s="36">
        <v>0.0806</v>
      </c>
      <c r="C357" t="s">
        <v>101</v>
      </c>
    </row>
    <row r="358" spans="1:3" x14ac:dyDescent="0.25">
      <c r="A358" t="s">
        <v>526</v>
      </c>
      <c r="B358" s="36">
        <v>89</v>
      </c>
      <c r="C358" t="s">
        <v>195</v>
      </c>
    </row>
    <row r="359" spans="1:3" x14ac:dyDescent="0.25">
      <c r="A359" t="s">
        <v>527</v>
      </c>
      <c r="B359" s="36">
        <v>0.34</v>
      </c>
      <c r="C359" t="s">
        <v>101</v>
      </c>
    </row>
    <row r="360" spans="1:3" x14ac:dyDescent="0.25">
      <c r="A360" t="s">
        <v>528</v>
      </c>
      <c r="B360" s="36">
        <v>0.0727</v>
      </c>
      <c r="C360" t="s">
        <v>101</v>
      </c>
    </row>
    <row r="361" spans="1:3" x14ac:dyDescent="0.25">
      <c r="A361" t="s">
        <v>529</v>
      </c>
      <c r="B361" s="36">
        <v>62</v>
      </c>
      <c r="C361" t="s">
        <v>190</v>
      </c>
    </row>
    <row r="362" spans="1:3" x14ac:dyDescent="0.25">
      <c r="A362" t="s">
        <v>530</v>
      </c>
      <c r="B362" s="36">
        <v>76.25</v>
      </c>
      <c r="C362" t="s">
        <v>190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Ingredients</vt:lpstr>
      <vt:lpstr>Sauce Batches</vt:lpstr>
      <vt:lpstr>On the Plate</vt:lpstr>
      <vt:lpstr>Answers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Clerque</dc:creator>
  <dc:title/>
  <dc:subject/>
  <dc:description/>
  <cp:keywords/>
  <cp:category/>
  <cp:lastModifiedBy>Unknown</cp:lastModifiedBy>
  <dcterms:created xsi:type="dcterms:W3CDTF">2026-09-02T01:54:10Z</dcterms:created>
  <dcterms:modified xsi:type="dcterms:W3CDTF">2026-09-02T01:54:10Z</dcterms:modified>
</cp:coreProperties>
</file>