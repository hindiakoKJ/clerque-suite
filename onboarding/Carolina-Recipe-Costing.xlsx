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  <sheet sheetId="2" name="Dish Costs" state="visible" r:id="rId5"/>
    <sheet sheetId="3" name="Notes" state="visible" r:id="rId6"/>
  </sheets>
  <calcPr calcId="171027" fullCalcOnLoad="1"/>
</workbook>
</file>

<file path=xl/sharedStrings.xml><?xml version="1.0" encoding="utf-8"?>
<sst xmlns="http://schemas.openxmlformats.org/spreadsheetml/2006/main" count="3058" uniqueCount="204">
  <si>
    <t>Product Name*</t>
  </si>
  <si>
    <t>Ingredient Name*</t>
  </si>
  <si>
    <t>Quantity*</t>
  </si>
  <si>
    <t>Unit</t>
  </si>
  <si>
    <t>Category</t>
  </si>
  <si>
    <t>Made or Bought</t>
  </si>
  <si>
    <t>Cost per Unit (₱)</t>
  </si>
  <si>
    <t>Line Cost (₱)</t>
  </si>
  <si>
    <t>Priced?</t>
  </si>
  <si>
    <t>Americano ( Hot )</t>
  </si>
  <si>
    <t>Coffee Beans</t>
  </si>
  <si>
    <t>g</t>
  </si>
  <si>
    <t>Black and White - Hot</t>
  </si>
  <si>
    <t>Bought</t>
  </si>
  <si>
    <t>Yes</t>
  </si>
  <si>
    <t>Hot Cup 12oz</t>
  </si>
  <si>
    <t>pc</t>
  </si>
  <si>
    <t>Hot Lid</t>
  </si>
  <si>
    <t>Water</t>
  </si>
  <si>
    <t>ml</t>
  </si>
  <si>
    <t>Americano ( Iced )</t>
  </si>
  <si>
    <t>Black and White - Iced</t>
  </si>
  <si>
    <t>Cold Cup 16oz</t>
  </si>
  <si>
    <t>Ice</t>
  </si>
  <si>
    <t>Strawless Lid ( Cold )</t>
  </si>
  <si>
    <t>Berry Carolina</t>
  </si>
  <si>
    <t>Yogurt Series</t>
  </si>
  <si>
    <t>Emborg Fresh Milk</t>
  </si>
  <si>
    <t>Mix Berries Puree</t>
  </si>
  <si>
    <t>White Sugar Syrup</t>
  </si>
  <si>
    <t>Yogurt</t>
  </si>
  <si>
    <t>Biscoff Carolina</t>
  </si>
  <si>
    <t>Biscoff Crumbs</t>
  </si>
  <si>
    <t>Biscoff Spread</t>
  </si>
  <si>
    <t>Sea Salt Cream</t>
  </si>
  <si>
    <t>Biscoff Frappe</t>
  </si>
  <si>
    <t>Frappe - Milk Based</t>
  </si>
  <si>
    <t>Biscoff Topping</t>
  </si>
  <si>
    <t>Dome Lid ( Cold )</t>
  </si>
  <si>
    <t>Frappese Powder</t>
  </si>
  <si>
    <t>Whipped Cream</t>
  </si>
  <si>
    <t>Blueberries &amp; Cream</t>
  </si>
  <si>
    <t>Blueberry Jam</t>
  </si>
  <si>
    <t>Blueberry Syrup</t>
  </si>
  <si>
    <t>Blueberry Soda</t>
  </si>
  <si>
    <t>Soda</t>
  </si>
  <si>
    <t>Dried Lemon</t>
  </si>
  <si>
    <t>Nata Shrinkers</t>
  </si>
  <si>
    <t>Sprite</t>
  </si>
  <si>
    <t>Blueberry Yogurt</t>
  </si>
  <si>
    <t>Buffalo Wings</t>
  </si>
  <si>
    <t>Butter</t>
  </si>
  <si>
    <t>Wings &amp; Chicken</t>
  </si>
  <si>
    <t>No price yet</t>
  </si>
  <si>
    <t>Cayenne pepper</t>
  </si>
  <si>
    <t>Chicken wings</t>
  </si>
  <si>
    <t>Chili powder</t>
  </si>
  <si>
    <t>Flour</t>
  </si>
  <si>
    <t>Ground Black Pepper</t>
  </si>
  <si>
    <t>Paprika</t>
  </si>
  <si>
    <t>Salt</t>
  </si>
  <si>
    <t>Sesame Seed</t>
  </si>
  <si>
    <t>Sriracha</t>
  </si>
  <si>
    <t>Sugar</t>
  </si>
  <si>
    <t>Café Latte ( Hot )</t>
  </si>
  <si>
    <t>Café Latte ( Iced )</t>
  </si>
  <si>
    <t>Café Mocha ( Hot )</t>
  </si>
  <si>
    <t>House Special - Hot</t>
  </si>
  <si>
    <t>DaVinci Gourmet Chocolate Sauce</t>
  </si>
  <si>
    <t>Café Mocha ( Iced )</t>
  </si>
  <si>
    <t>House Special - Iced</t>
  </si>
  <si>
    <t>Cappucino ( Hot )</t>
  </si>
  <si>
    <t>Caramel Macchiato</t>
  </si>
  <si>
    <t>Caramel Sauce</t>
  </si>
  <si>
    <t>Frappe - Coffee Based</t>
  </si>
  <si>
    <t>Vanilla Syrup</t>
  </si>
  <si>
    <t>Caramel Macchiato ( Hot )</t>
  </si>
  <si>
    <t>Signature Coffee - Hot</t>
  </si>
  <si>
    <t>Caramel Macchiato ( Iced )</t>
  </si>
  <si>
    <t>Signature Coffee - Iced</t>
  </si>
  <si>
    <t>Carolina's Sea Salt Latte ( Iced )</t>
  </si>
  <si>
    <t>Oatside</t>
  </si>
  <si>
    <t>Dark Chocolate Latte ( Hot )</t>
  </si>
  <si>
    <t>Dark Chocolate Latte ( Iced )</t>
  </si>
  <si>
    <t>Dirty Matcha ( Hot )</t>
  </si>
  <si>
    <t>Agave Syrup</t>
  </si>
  <si>
    <t>Matcha Series - Hot</t>
  </si>
  <si>
    <t>Premium Matcha Powder</t>
  </si>
  <si>
    <t>Dirty Matcha ( Iced )</t>
  </si>
  <si>
    <t>Matcha Series - Iced</t>
  </si>
  <si>
    <t>Cold Cup 12oz</t>
  </si>
  <si>
    <t>Flat White ( Hot )</t>
  </si>
  <si>
    <t>Garlic Chicken</t>
  </si>
  <si>
    <t>Garlic</t>
  </si>
  <si>
    <t>Knorr Liquid Seasoning</t>
  </si>
  <si>
    <t>Garlic Parmesan</t>
  </si>
  <si>
    <t>Honey</t>
  </si>
  <si>
    <t>Parmesan Cheese</t>
  </si>
  <si>
    <t>Parsley</t>
  </si>
  <si>
    <t>Hazelnut Frappuccino</t>
  </si>
  <si>
    <t>Hazelnut Syrup</t>
  </si>
  <si>
    <t>Hazelnut Latte ( Hot )</t>
  </si>
  <si>
    <t>Hazelnut Latte ( Iced )</t>
  </si>
  <si>
    <t>Hazelnut Mocha ( Hot )</t>
  </si>
  <si>
    <t>Hazelnut Mocha ( Iced )</t>
  </si>
  <si>
    <t>Herbed Honey Garlic</t>
  </si>
  <si>
    <t>Apple cider vinegar</t>
  </si>
  <si>
    <t>Dried rosemary</t>
  </si>
  <si>
    <t>Dried thyme</t>
  </si>
  <si>
    <t>Grated Parmesan</t>
  </si>
  <si>
    <t>Pepper</t>
  </si>
  <si>
    <t>Soy sauce</t>
  </si>
  <si>
    <t>Hojicha Milk ( Hot )</t>
  </si>
  <si>
    <t>Hojicha Powder</t>
  </si>
  <si>
    <t>Hojicha Milk ( Iced )</t>
  </si>
  <si>
    <t>Honey Sriracha</t>
  </si>
  <si>
    <t>Java Chip</t>
  </si>
  <si>
    <t>Chocolate Chips</t>
  </si>
  <si>
    <t>Kiwi Soda</t>
  </si>
  <si>
    <t>Kiwi Jam</t>
  </si>
  <si>
    <t>Long Black ( Hot )</t>
  </si>
  <si>
    <t>Long Black ( Iced )</t>
  </si>
  <si>
    <t>Matcha Cloud ( Iced )</t>
  </si>
  <si>
    <t>Macha Powder ( Shrinker )</t>
  </si>
  <si>
    <t>Matcha Milk ( Hot )</t>
  </si>
  <si>
    <t>Matcha Milk ( Iced )</t>
  </si>
  <si>
    <t>Matcha Sea Salt ( Iced )</t>
  </si>
  <si>
    <t>DaVinci Salted Caramel Sauce</t>
  </si>
  <si>
    <t>Milodinos Milk ( Iced )</t>
  </si>
  <si>
    <t>Milo Powder</t>
  </si>
  <si>
    <t>Minasa Frappe</t>
  </si>
  <si>
    <t>Minasa Biscuits</t>
  </si>
  <si>
    <t>Minasa Yogurt</t>
  </si>
  <si>
    <t>Mix Berries Soda</t>
  </si>
  <si>
    <t>Mix Berries Syrup</t>
  </si>
  <si>
    <t>Oreo Carolina</t>
  </si>
  <si>
    <t>Oreo Crumbs</t>
  </si>
  <si>
    <t>Oreo Supremo</t>
  </si>
  <si>
    <t>Passion Soda</t>
  </si>
  <si>
    <t>Passion Fruit Jam</t>
  </si>
  <si>
    <t>Passion Yogurt</t>
  </si>
  <si>
    <t>Roasted Almond ( Hot )</t>
  </si>
  <si>
    <t>Roasted Almond Syrup</t>
  </si>
  <si>
    <t>Roasted Almond ( Iced )</t>
  </si>
  <si>
    <t>Salted Caramel ( Hot )</t>
  </si>
  <si>
    <t>Salted Caramel ( Iced )</t>
  </si>
  <si>
    <t>Spanish Latte ( Hot )</t>
  </si>
  <si>
    <t>Spanish Latte ( Iced )</t>
  </si>
  <si>
    <t>Spanish Oat Blend ( Iced )</t>
  </si>
  <si>
    <t>Strawberries &amp; Cream</t>
  </si>
  <si>
    <t>Strawberry Jam</t>
  </si>
  <si>
    <t>Strawberry Syrup</t>
  </si>
  <si>
    <t>Strawberry Matcha ( Iced )</t>
  </si>
  <si>
    <t>Strawberry Soda</t>
  </si>
  <si>
    <t>Strawberry Yogurt</t>
  </si>
  <si>
    <t>Sweet &amp; Spicy BBQ</t>
  </si>
  <si>
    <t>Brown Sugar</t>
  </si>
  <si>
    <t>Chicken powder</t>
  </si>
  <si>
    <t>Garlic powder</t>
  </si>
  <si>
    <t>Ketchup</t>
  </si>
  <si>
    <t>Oil</t>
  </si>
  <si>
    <t>Onion powder</t>
  </si>
  <si>
    <t>Teriyaki Wings</t>
  </si>
  <si>
    <t>Ginger</t>
  </si>
  <si>
    <t>Teriyaki Sauce (ready)</t>
  </si>
  <si>
    <t>Made in-house</t>
  </si>
  <si>
    <t>Triple Chocolate</t>
  </si>
  <si>
    <t>Ube Frappe</t>
  </si>
  <si>
    <t>Ube Sauce</t>
  </si>
  <si>
    <t>Ube Latte ( Hot )</t>
  </si>
  <si>
    <t>White Chocolate Sauce</t>
  </si>
  <si>
    <t>Ube Latte ( Iced )</t>
  </si>
  <si>
    <t>Ube Milk ( Iced )</t>
  </si>
  <si>
    <t>Breve Milk</t>
  </si>
  <si>
    <t>Vanilla Latte ( Hot )</t>
  </si>
  <si>
    <t>Vanilla Latte ( Iced )</t>
  </si>
  <si>
    <t>Vietnamese Latte</t>
  </si>
  <si>
    <t>Longgo Espresso Shot</t>
  </si>
  <si>
    <t>White Mocha</t>
  </si>
  <si>
    <t>White Mocha Latte ( Hot )</t>
  </si>
  <si>
    <t>White Mocha Latte ( Iced )</t>
  </si>
  <si>
    <t>Product Name</t>
  </si>
  <si>
    <t>Sells For (₱)</t>
  </si>
  <si>
    <t>Cost to Make (₱)</t>
  </si>
  <si>
    <t>Margin (₱)</t>
  </si>
  <si>
    <t>Margin %</t>
  </si>
  <si>
    <t>Recipe Lines</t>
  </si>
  <si>
    <t>Lines With No Price</t>
  </si>
  <si>
    <t>Costing Complete?</t>
  </si>
  <si>
    <t>Your recipes, costed</t>
  </si>
  <si>
    <t/>
  </si>
  <si>
    <t>479 recipe lines across 74 products, exported 2026-09-02.</t>
  </si>
  <si>
    <t>7 products cannot be costed yet because 17 ingredients have no price. Their margin is left blank rather than reported as if the missing ingredient were free.</t>
  </si>
  <si>
    <t>No price yet: Butter, Cayenne pepper, Flour, Paprika, Salt, Sriracha, Honey, Parsley, Apple cider vinegar, Dried rosemary, Dried thyme, Pepper, Soy sauce, Garlic powder, Ketchup, Oil, Ginger</t>
  </si>
  <si>
    <t>To pivot it</t>
  </si>
  <si>
    <t>Click any cell on Recipes or Dish Costs, then Insert &gt; PivotTable. The range is already a named table (RecipeLines and DishCosts), so Excel fills the source in for you.</t>
  </si>
  <si>
    <t>Pivot Recipes to ask where the money goes — Line Cost by Ingredient, or by Category. Pivot Dish Costs to ask which dishes earn — Margin % by Product. Keep them apart: a selling price summed once per ingredient is eleven times too big, which is why it is not on the Recipes sheet.</t>
  </si>
  <si>
    <t>To change something</t>
  </si>
  <si>
    <t>Edit Quantity on the Recipes sheet and upload this file back at Settings &gt; Import &gt; Recipes. Only the first four columns are read; everything after them is ignored on the way in.</t>
  </si>
  <si>
    <t>Do NOT edit a Product Name or an Ingredient Name. Both are matched by name, so an edited one either fails to find its target or attaches the line to something else.</t>
  </si>
  <si>
    <t>Adding a line to an existing dish works — type it under the last row. A brand-new dish, or a brand-new ingredient, has to exist first: add it with the Products or Ingredients template, or use the Setup Pack, which loads Products, then Ingredients, then Recipes in one upload.</t>
  </si>
  <si>
    <t>Deleting a row here does NOT delete the recipe line. The import only ever adds or updates; remove a line in the app instead.</t>
  </si>
  <si>
    <t>Cost per Unit is a snapshot</t>
  </si>
  <si>
    <t>It is what the ingredient costs in Clerque right now. Recording a delivery recalculates it as a weighted average of what you actually paid, so export again after a delivery rather than trusting an old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</si>
</sst>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###"/>
    <numFmt numFmtId="165" formatCode="#,##0.0000"/>
    <numFmt numFmtId="166" formatCode="0.0%"/>
  </numFmts>
  <fonts count="3" x14ac:knownFonts="1">
    <font>
      <color theme="1"/>
      <family val="2"/>
      <scheme val="minor"/>
      <sz val="11"/>
      <name val="Calibri"/>
    </font>
    <font>
      <b/>
      <color rgb="FF8B5E3C"/>
      <sz val="12"/>
    </font>
    <font>
      <color rgb="FF444444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cipeLines" displayName="RecipeLines" ref="A1:I480" totalsRowShown="1" headerRowCount="1">
  <autoFilter ref="A1:I4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roduct Name*" totalsRowLabel="Total"/>
    <tableColumn id="2" name="Ingredient Name*" totalsRowFunction="none"/>
    <tableColumn id="3" name="Quantity*" totalsRowFunction="none"/>
    <tableColumn id="4" name="Unit" totalsRowFunction="none"/>
    <tableColumn id="5" name="Category" totalsRowFunction="none"/>
    <tableColumn id="6" name="Made or Bought" totalsRowFunction="none"/>
    <tableColumn id="7" name="Cost per Unit (₱)" totalsRowFunction="none"/>
    <tableColumn id="8" name="Line Cost (₱)" totalsRowFunction="none"/>
    <tableColumn id="9" name="Priced?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DishCosts" displayName="DishCosts" ref="A1:I75" totalsRowShown="1" headerRowCount="1">
  <autoFilter ref="A1:I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Category" totalsRowLabel="Total"/>
    <tableColumn id="2" name="Product Name" totalsRowFunction="none"/>
    <tableColumn id="3" name="Sells For (₱)" totalsRowFunction="none"/>
    <tableColumn id="4" name="Cost to Make (₱)" totalsRowFunction="none"/>
    <tableColumn id="5" name="Margin (₱)" totalsRowFunction="none"/>
    <tableColumn id="6" name="Margin %" totalsRowFunction="none"/>
    <tableColumn id="7" name="Recipe Lines" totalsRowFunction="none"/>
    <tableColumn id="8" name="Lines With No Price" totalsRowFunction="none"/>
    <tableColumn id="9" name="Costing Complete?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12" style="1" customWidth="1"/>
    <col min="4" max="4" width="8" customWidth="1"/>
    <col min="5" max="5" width="24" customWidth="1"/>
    <col min="6" max="6" width="16" customWidth="1"/>
    <col min="7" max="7" width="18" style="2" customWidth="1"/>
    <col min="8" max="8" width="16" style="3" customWidth="1"/>
    <col min="9" max="9" width="14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17</v>
      </c>
      <c r="D2" t="s">
        <v>11</v>
      </c>
      <c r="E2" t="s">
        <v>12</v>
      </c>
      <c r="F2" t="s">
        <v>13</v>
      </c>
      <c r="G2" s="2">
        <v>1.1</v>
      </c>
      <c r="H2" s="3">
        <f>IF(OR(NOT(ISNUMBER($C2)),NOT(ISNUMBER($G2))),"",$C2*$G2)</f>
        <v>18.7</v>
      </c>
      <c r="I2" t="s">
        <v>14</v>
      </c>
    </row>
    <row r="3" spans="1:9" x14ac:dyDescent="0.25">
      <c r="A3" t="s">
        <v>9</v>
      </c>
      <c r="B3" t="s">
        <v>15</v>
      </c>
      <c r="C3" s="1">
        <v>1</v>
      </c>
      <c r="D3" t="s">
        <v>16</v>
      </c>
      <c r="E3" t="s">
        <v>12</v>
      </c>
      <c r="F3" t="s">
        <v>13</v>
      </c>
      <c r="G3" s="2">
        <v>5</v>
      </c>
      <c r="H3" s="3">
        <f>IF(OR(NOT(ISNUMBER($C3)),NOT(ISNUMBER($G3))),"",$C3*$G3)</f>
        <v>5</v>
      </c>
      <c r="I3" t="s">
        <v>14</v>
      </c>
    </row>
    <row r="4" spans="1:9" x14ac:dyDescent="0.25">
      <c r="A4" t="s">
        <v>9</v>
      </c>
      <c r="B4" t="s">
        <v>17</v>
      </c>
      <c r="C4" s="1">
        <v>1</v>
      </c>
      <c r="D4" t="s">
        <v>16</v>
      </c>
      <c r="E4" t="s">
        <v>12</v>
      </c>
      <c r="F4" t="s">
        <v>13</v>
      </c>
      <c r="G4" s="2">
        <v>1.6</v>
      </c>
      <c r="H4" s="3">
        <f>IF(OR(NOT(ISNUMBER($C4)),NOT(ISNUMBER($G4))),"",$C4*$G4)</f>
        <v>1.6</v>
      </c>
      <c r="I4" t="s">
        <v>14</v>
      </c>
    </row>
    <row r="5" spans="1:9" x14ac:dyDescent="0.25">
      <c r="A5" t="s">
        <v>9</v>
      </c>
      <c r="B5" t="s">
        <v>18</v>
      </c>
      <c r="C5" s="1">
        <v>300</v>
      </c>
      <c r="D5" t="s">
        <v>19</v>
      </c>
      <c r="E5" t="s">
        <v>12</v>
      </c>
      <c r="F5" t="s">
        <v>13</v>
      </c>
      <c r="G5" s="2">
        <v>0.002</v>
      </c>
      <c r="H5" s="3">
        <f>IF(OR(NOT(ISNUMBER($C5)),NOT(ISNUMBER($G5))),"",$C5*$G5)</f>
        <v>0.6</v>
      </c>
      <c r="I5" t="s">
        <v>14</v>
      </c>
    </row>
    <row r="6" spans="1:9" x14ac:dyDescent="0.25">
      <c r="A6" t="s">
        <v>20</v>
      </c>
      <c r="B6" t="s">
        <v>10</v>
      </c>
      <c r="C6" s="1">
        <v>17</v>
      </c>
      <c r="D6" t="s">
        <v>11</v>
      </c>
      <c r="E6" t="s">
        <v>21</v>
      </c>
      <c r="F6" t="s">
        <v>13</v>
      </c>
      <c r="G6" s="2">
        <v>1.1</v>
      </c>
      <c r="H6" s="3">
        <f>IF(OR(NOT(ISNUMBER($C6)),NOT(ISNUMBER($G6))),"",$C6*$G6)</f>
        <v>18.7</v>
      </c>
      <c r="I6" t="s">
        <v>14</v>
      </c>
    </row>
    <row r="7" spans="1:9" x14ac:dyDescent="0.25">
      <c r="A7" t="s">
        <v>20</v>
      </c>
      <c r="B7" t="s">
        <v>22</v>
      </c>
      <c r="C7" s="1">
        <v>1</v>
      </c>
      <c r="D7" t="s">
        <v>16</v>
      </c>
      <c r="E7" t="s">
        <v>21</v>
      </c>
      <c r="F7" t="s">
        <v>13</v>
      </c>
      <c r="G7" s="2">
        <v>3.64</v>
      </c>
      <c r="H7" s="3">
        <f>IF(OR(NOT(ISNUMBER($C7)),NOT(ISNUMBER($G7))),"",$C7*$G7)</f>
        <v>3.64</v>
      </c>
      <c r="I7" t="s">
        <v>14</v>
      </c>
    </row>
    <row r="8" spans="1:9" x14ac:dyDescent="0.25">
      <c r="A8" t="s">
        <v>20</v>
      </c>
      <c r="B8" t="s">
        <v>23</v>
      </c>
      <c r="C8" s="1">
        <v>300</v>
      </c>
      <c r="D8" t="s">
        <v>11</v>
      </c>
      <c r="E8" t="s">
        <v>21</v>
      </c>
      <c r="F8" t="s">
        <v>13</v>
      </c>
      <c r="G8" s="2">
        <v>0.0015</v>
      </c>
      <c r="H8" s="3">
        <f>IF(OR(NOT(ISNUMBER($C8)),NOT(ISNUMBER($G8))),"",$C8*$G8)</f>
        <v>0.45</v>
      </c>
      <c r="I8" t="s">
        <v>14</v>
      </c>
    </row>
    <row r="9" spans="1:9" x14ac:dyDescent="0.25">
      <c r="A9" t="s">
        <v>20</v>
      </c>
      <c r="B9" t="s">
        <v>24</v>
      </c>
      <c r="C9" s="1">
        <v>1</v>
      </c>
      <c r="D9" t="s">
        <v>16</v>
      </c>
      <c r="E9" t="s">
        <v>21</v>
      </c>
      <c r="F9" t="s">
        <v>13</v>
      </c>
      <c r="G9" s="2">
        <v>1.6429</v>
      </c>
      <c r="H9" s="3">
        <f>IF(OR(NOT(ISNUMBER($C9)),NOT(ISNUMBER($G9))),"",$C9*$G9)</f>
        <v>1.6429</v>
      </c>
      <c r="I9" t="s">
        <v>14</v>
      </c>
    </row>
    <row r="10" spans="1:9" x14ac:dyDescent="0.25">
      <c r="A10" t="s">
        <v>20</v>
      </c>
      <c r="B10" t="s">
        <v>18</v>
      </c>
      <c r="C10" s="1">
        <v>150</v>
      </c>
      <c r="D10" t="s">
        <v>19</v>
      </c>
      <c r="E10" t="s">
        <v>21</v>
      </c>
      <c r="F10" t="s">
        <v>13</v>
      </c>
      <c r="G10" s="2">
        <v>0.002</v>
      </c>
      <c r="H10" s="3">
        <f>IF(OR(NOT(ISNUMBER($C10)),NOT(ISNUMBER($G10))),"",$C10*$G10)</f>
        <v>0.3</v>
      </c>
      <c r="I10" t="s">
        <v>14</v>
      </c>
    </row>
    <row r="11" spans="1:9" x14ac:dyDescent="0.25">
      <c r="A11" t="s">
        <v>25</v>
      </c>
      <c r="B11" t="s">
        <v>22</v>
      </c>
      <c r="C11" s="1">
        <v>1</v>
      </c>
      <c r="D11" t="s">
        <v>16</v>
      </c>
      <c r="E11" t="s">
        <v>26</v>
      </c>
      <c r="F11" t="s">
        <v>13</v>
      </c>
      <c r="G11" s="2">
        <v>3.64</v>
      </c>
      <c r="H11" s="3">
        <f>IF(OR(NOT(ISNUMBER($C11)),NOT(ISNUMBER($G11))),"",$C11*$G11)</f>
        <v>3.64</v>
      </c>
      <c r="I11" t="s">
        <v>14</v>
      </c>
    </row>
    <row r="12" spans="1:9" x14ac:dyDescent="0.25">
      <c r="A12" t="s">
        <v>25</v>
      </c>
      <c r="B12" t="s">
        <v>27</v>
      </c>
      <c r="C12" s="1">
        <v>150</v>
      </c>
      <c r="D12" t="s">
        <v>19</v>
      </c>
      <c r="E12" t="s">
        <v>26</v>
      </c>
      <c r="F12" t="s">
        <v>13</v>
      </c>
      <c r="G12" s="2">
        <v>0.09</v>
      </c>
      <c r="H12" s="3">
        <f>IF(OR(NOT(ISNUMBER($C12)),NOT(ISNUMBER($G12))),"",$C12*$G12)</f>
        <v>13.5</v>
      </c>
      <c r="I12" t="s">
        <v>14</v>
      </c>
    </row>
    <row r="13" spans="1:9" x14ac:dyDescent="0.25">
      <c r="A13" t="s">
        <v>25</v>
      </c>
      <c r="B13" t="s">
        <v>23</v>
      </c>
      <c r="C13" s="1">
        <v>300</v>
      </c>
      <c r="D13" t="s">
        <v>11</v>
      </c>
      <c r="E13" t="s">
        <v>26</v>
      </c>
      <c r="F13" t="s">
        <v>13</v>
      </c>
      <c r="G13" s="2">
        <v>0.0015</v>
      </c>
      <c r="H13" s="3">
        <f>IF(OR(NOT(ISNUMBER($C13)),NOT(ISNUMBER($G13))),"",$C13*$G13)</f>
        <v>0.45</v>
      </c>
      <c r="I13" t="s">
        <v>14</v>
      </c>
    </row>
    <row r="14" spans="1:9" x14ac:dyDescent="0.25">
      <c r="A14" t="s">
        <v>25</v>
      </c>
      <c r="B14" t="s">
        <v>28</v>
      </c>
      <c r="C14" s="1">
        <v>20</v>
      </c>
      <c r="D14" t="s">
        <v>19</v>
      </c>
      <c r="E14" t="s">
        <v>26</v>
      </c>
      <c r="F14" t="s">
        <v>13</v>
      </c>
      <c r="G14" s="2">
        <v>0.67</v>
      </c>
      <c r="H14" s="3">
        <f>IF(OR(NOT(ISNUMBER($C14)),NOT(ISNUMBER($G14))),"",$C14*$G14)</f>
        <v>13.4</v>
      </c>
      <c r="I14" t="s">
        <v>14</v>
      </c>
    </row>
    <row r="15" spans="1:9" x14ac:dyDescent="0.25">
      <c r="A15" t="s">
        <v>25</v>
      </c>
      <c r="B15" t="s">
        <v>24</v>
      </c>
      <c r="C15" s="1">
        <v>1</v>
      </c>
      <c r="D15" t="s">
        <v>16</v>
      </c>
      <c r="E15" t="s">
        <v>26</v>
      </c>
      <c r="F15" t="s">
        <v>13</v>
      </c>
      <c r="G15" s="2">
        <v>1.6429</v>
      </c>
      <c r="H15" s="3">
        <f>IF(OR(NOT(ISNUMBER($C15)),NOT(ISNUMBER($G15))),"",$C15*$G15)</f>
        <v>1.6429</v>
      </c>
      <c r="I15" t="s">
        <v>14</v>
      </c>
    </row>
    <row r="16" spans="1:9" x14ac:dyDescent="0.25">
      <c r="A16" t="s">
        <v>25</v>
      </c>
      <c r="B16" t="s">
        <v>29</v>
      </c>
      <c r="C16" s="1">
        <v>20</v>
      </c>
      <c r="D16" t="s">
        <v>19</v>
      </c>
      <c r="E16" t="s">
        <v>26</v>
      </c>
      <c r="F16" t="s">
        <v>13</v>
      </c>
      <c r="G16" s="2">
        <v>0.0806</v>
      </c>
      <c r="H16" s="3">
        <f>IF(OR(NOT(ISNUMBER($C16)),NOT(ISNUMBER($G16))),"",$C16*$G16)</f>
        <v>1.612</v>
      </c>
      <c r="I16" t="s">
        <v>14</v>
      </c>
    </row>
    <row r="17" spans="1:9" x14ac:dyDescent="0.25">
      <c r="A17" t="s">
        <v>25</v>
      </c>
      <c r="B17" t="s">
        <v>30</v>
      </c>
      <c r="C17" s="1">
        <v>40</v>
      </c>
      <c r="D17" t="s">
        <v>19</v>
      </c>
      <c r="E17" t="s">
        <v>26</v>
      </c>
      <c r="F17" t="s">
        <v>13</v>
      </c>
      <c r="G17" s="2">
        <v>0.34</v>
      </c>
      <c r="H17" s="3">
        <f>IF(OR(NOT(ISNUMBER($C17)),NOT(ISNUMBER($G17))),"",$C17*$G17)</f>
        <v>13.6</v>
      </c>
      <c r="I17" t="s">
        <v>14</v>
      </c>
    </row>
    <row r="18" spans="1:9" x14ac:dyDescent="0.25">
      <c r="A18" t="s">
        <v>31</v>
      </c>
      <c r="B18" t="s">
        <v>32</v>
      </c>
      <c r="C18" s="1">
        <v>35</v>
      </c>
      <c r="D18" t="s">
        <v>11</v>
      </c>
      <c r="E18" t="s">
        <v>26</v>
      </c>
      <c r="F18" t="s">
        <v>13</v>
      </c>
      <c r="G18" s="2">
        <v>0.7733</v>
      </c>
      <c r="H18" s="3">
        <f>IF(OR(NOT(ISNUMBER($C18)),NOT(ISNUMBER($G18))),"",$C18*$G18)</f>
        <v>27.0655</v>
      </c>
      <c r="I18" t="s">
        <v>14</v>
      </c>
    </row>
    <row r="19" spans="1:9" x14ac:dyDescent="0.25">
      <c r="A19" t="s">
        <v>31</v>
      </c>
      <c r="B19" t="s">
        <v>33</v>
      </c>
      <c r="C19" s="1">
        <v>6</v>
      </c>
      <c r="D19" t="s">
        <v>11</v>
      </c>
      <c r="E19" t="s">
        <v>26</v>
      </c>
      <c r="F19" t="s">
        <v>13</v>
      </c>
      <c r="G19" s="2">
        <v>1</v>
      </c>
      <c r="H19" s="3">
        <f>IF(OR(NOT(ISNUMBER($C19)),NOT(ISNUMBER($G19))),"",$C19*$G19)</f>
        <v>6</v>
      </c>
      <c r="I19" t="s">
        <v>14</v>
      </c>
    </row>
    <row r="20" spans="1:9" x14ac:dyDescent="0.25">
      <c r="A20" t="s">
        <v>31</v>
      </c>
      <c r="B20" t="s">
        <v>22</v>
      </c>
      <c r="C20" s="1">
        <v>1</v>
      </c>
      <c r="D20" t="s">
        <v>16</v>
      </c>
      <c r="E20" t="s">
        <v>26</v>
      </c>
      <c r="F20" t="s">
        <v>13</v>
      </c>
      <c r="G20" s="2">
        <v>3.64</v>
      </c>
      <c r="H20" s="3">
        <f>IF(OR(NOT(ISNUMBER($C20)),NOT(ISNUMBER($G20))),"",$C20*$G20)</f>
        <v>3.64</v>
      </c>
      <c r="I20" t="s">
        <v>14</v>
      </c>
    </row>
    <row r="21" spans="1:9" x14ac:dyDescent="0.25">
      <c r="A21" t="s">
        <v>31</v>
      </c>
      <c r="B21" t="s">
        <v>27</v>
      </c>
      <c r="C21" s="1">
        <v>150</v>
      </c>
      <c r="D21" t="s">
        <v>19</v>
      </c>
      <c r="E21" t="s">
        <v>26</v>
      </c>
      <c r="F21" t="s">
        <v>13</v>
      </c>
      <c r="G21" s="2">
        <v>0.09</v>
      </c>
      <c r="H21" s="3">
        <f>IF(OR(NOT(ISNUMBER($C21)),NOT(ISNUMBER($G21))),"",$C21*$G21)</f>
        <v>13.5</v>
      </c>
      <c r="I21" t="s">
        <v>14</v>
      </c>
    </row>
    <row r="22" spans="1:9" x14ac:dyDescent="0.25">
      <c r="A22" t="s">
        <v>31</v>
      </c>
      <c r="B22" t="s">
        <v>23</v>
      </c>
      <c r="C22" s="1">
        <v>225</v>
      </c>
      <c r="D22" t="s">
        <v>11</v>
      </c>
      <c r="E22" t="s">
        <v>26</v>
      </c>
      <c r="F22" t="s">
        <v>13</v>
      </c>
      <c r="G22" s="2">
        <v>0.0015</v>
      </c>
      <c r="H22" s="3">
        <f>IF(OR(NOT(ISNUMBER($C22)),NOT(ISNUMBER($G22))),"",$C22*$G22)</f>
        <v>0.3375</v>
      </c>
      <c r="I22" t="s">
        <v>14</v>
      </c>
    </row>
    <row r="23" spans="1:9" x14ac:dyDescent="0.25">
      <c r="A23" t="s">
        <v>31</v>
      </c>
      <c r="B23" t="s">
        <v>34</v>
      </c>
      <c r="C23" s="1">
        <v>15</v>
      </c>
      <c r="D23" t="s">
        <v>19</v>
      </c>
      <c r="E23" t="s">
        <v>26</v>
      </c>
      <c r="F23" t="s">
        <v>13</v>
      </c>
      <c r="G23" s="2">
        <v>0.146</v>
      </c>
      <c r="H23" s="3">
        <f>IF(OR(NOT(ISNUMBER($C23)),NOT(ISNUMBER($G23))),"",$C23*$G23)</f>
        <v>2.19</v>
      </c>
      <c r="I23" t="s">
        <v>14</v>
      </c>
    </row>
    <row r="24" spans="1:9" x14ac:dyDescent="0.25">
      <c r="A24" t="s">
        <v>31</v>
      </c>
      <c r="B24" t="s">
        <v>24</v>
      </c>
      <c r="C24" s="1">
        <v>1</v>
      </c>
      <c r="D24" t="s">
        <v>16</v>
      </c>
      <c r="E24" t="s">
        <v>26</v>
      </c>
      <c r="F24" t="s">
        <v>13</v>
      </c>
      <c r="G24" s="2">
        <v>1.6429</v>
      </c>
      <c r="H24" s="3">
        <f>IF(OR(NOT(ISNUMBER($C24)),NOT(ISNUMBER($G24))),"",$C24*$G24)</f>
        <v>1.6429</v>
      </c>
      <c r="I24" t="s">
        <v>14</v>
      </c>
    </row>
    <row r="25" spans="1:9" x14ac:dyDescent="0.25">
      <c r="A25" t="s">
        <v>31</v>
      </c>
      <c r="B25" t="s">
        <v>29</v>
      </c>
      <c r="C25" s="1">
        <v>18</v>
      </c>
      <c r="D25" t="s">
        <v>19</v>
      </c>
      <c r="E25" t="s">
        <v>26</v>
      </c>
      <c r="F25" t="s">
        <v>13</v>
      </c>
      <c r="G25" s="2">
        <v>0.0806</v>
      </c>
      <c r="H25" s="3">
        <f>IF(OR(NOT(ISNUMBER($C25)),NOT(ISNUMBER($G25))),"",$C25*$G25)</f>
        <v>1.4508</v>
      </c>
      <c r="I25" t="s">
        <v>14</v>
      </c>
    </row>
    <row r="26" spans="1:9" x14ac:dyDescent="0.25">
      <c r="A26" t="s">
        <v>31</v>
      </c>
      <c r="B26" t="s">
        <v>30</v>
      </c>
      <c r="C26" s="1">
        <v>40</v>
      </c>
      <c r="D26" t="s">
        <v>19</v>
      </c>
      <c r="E26" t="s">
        <v>26</v>
      </c>
      <c r="F26" t="s">
        <v>13</v>
      </c>
      <c r="G26" s="2">
        <v>0.34</v>
      </c>
      <c r="H26" s="3">
        <f>IF(OR(NOT(ISNUMBER($C26)),NOT(ISNUMBER($G26))),"",$C26*$G26)</f>
        <v>13.6</v>
      </c>
      <c r="I26" t="s">
        <v>14</v>
      </c>
    </row>
    <row r="27" spans="1:9" x14ac:dyDescent="0.25">
      <c r="A27" t="s">
        <v>35</v>
      </c>
      <c r="B27" t="s">
        <v>32</v>
      </c>
      <c r="C27" s="1">
        <v>20</v>
      </c>
      <c r="D27" t="s">
        <v>11</v>
      </c>
      <c r="E27" t="s">
        <v>36</v>
      </c>
      <c r="F27" t="s">
        <v>13</v>
      </c>
      <c r="G27" s="2">
        <v>0.7733</v>
      </c>
      <c r="H27" s="3">
        <f>IF(OR(NOT(ISNUMBER($C27)),NOT(ISNUMBER($G27))),"",$C27*$G27)</f>
        <v>15.466</v>
      </c>
      <c r="I27" t="s">
        <v>14</v>
      </c>
    </row>
    <row r="28" spans="1:9" x14ac:dyDescent="0.25">
      <c r="A28" t="s">
        <v>35</v>
      </c>
      <c r="B28" t="s">
        <v>33</v>
      </c>
      <c r="C28" s="1">
        <v>10</v>
      </c>
      <c r="D28" t="s">
        <v>11</v>
      </c>
      <c r="E28" t="s">
        <v>36</v>
      </c>
      <c r="F28" t="s">
        <v>13</v>
      </c>
      <c r="G28" s="2">
        <v>1</v>
      </c>
      <c r="H28" s="3">
        <f>IF(OR(NOT(ISNUMBER($C28)),NOT(ISNUMBER($G28))),"",$C28*$G28)</f>
        <v>10</v>
      </c>
      <c r="I28" t="s">
        <v>14</v>
      </c>
    </row>
    <row r="29" spans="1:9" x14ac:dyDescent="0.25">
      <c r="A29" t="s">
        <v>35</v>
      </c>
      <c r="B29" t="s">
        <v>37</v>
      </c>
      <c r="C29" s="1">
        <v>5</v>
      </c>
      <c r="D29" t="s">
        <v>11</v>
      </c>
      <c r="E29" t="s">
        <v>36</v>
      </c>
      <c r="F29" t="s">
        <v>13</v>
      </c>
      <c r="G29" s="2">
        <v>0.7733</v>
      </c>
      <c r="H29" s="3">
        <f>IF(OR(NOT(ISNUMBER($C29)),NOT(ISNUMBER($G29))),"",$C29*$G29)</f>
        <v>3.8665</v>
      </c>
      <c r="I29" t="s">
        <v>14</v>
      </c>
    </row>
    <row r="30" spans="1:9" x14ac:dyDescent="0.25">
      <c r="A30" t="s">
        <v>35</v>
      </c>
      <c r="B30" t="s">
        <v>22</v>
      </c>
      <c r="C30" s="1">
        <v>1</v>
      </c>
      <c r="D30" t="s">
        <v>16</v>
      </c>
      <c r="E30" t="s">
        <v>36</v>
      </c>
      <c r="F30" t="s">
        <v>13</v>
      </c>
      <c r="G30" s="2">
        <v>3.64</v>
      </c>
      <c r="H30" s="3">
        <f>IF(OR(NOT(ISNUMBER($C30)),NOT(ISNUMBER($G30))),"",$C30*$G30)</f>
        <v>3.64</v>
      </c>
      <c r="I30" t="s">
        <v>14</v>
      </c>
    </row>
    <row r="31" spans="1:9" x14ac:dyDescent="0.25">
      <c r="A31" t="s">
        <v>35</v>
      </c>
      <c r="B31" t="s">
        <v>38</v>
      </c>
      <c r="C31" s="1">
        <v>1</v>
      </c>
      <c r="D31" t="s">
        <v>16</v>
      </c>
      <c r="E31" t="s">
        <v>36</v>
      </c>
      <c r="F31" t="s">
        <v>13</v>
      </c>
      <c r="G31" s="2">
        <v>1.86</v>
      </c>
      <c r="H31" s="3">
        <f>IF(OR(NOT(ISNUMBER($C31)),NOT(ISNUMBER($G31))),"",$C31*$G31)</f>
        <v>1.86</v>
      </c>
      <c r="I31" t="s">
        <v>14</v>
      </c>
    </row>
    <row r="32" spans="1:9" x14ac:dyDescent="0.25">
      <c r="A32" t="s">
        <v>35</v>
      </c>
      <c r="B32" t="s">
        <v>27</v>
      </c>
      <c r="C32" s="1">
        <v>100</v>
      </c>
      <c r="D32" t="s">
        <v>19</v>
      </c>
      <c r="E32" t="s">
        <v>36</v>
      </c>
      <c r="F32" t="s">
        <v>13</v>
      </c>
      <c r="G32" s="2">
        <v>0.09</v>
      </c>
      <c r="H32" s="3">
        <f>IF(OR(NOT(ISNUMBER($C32)),NOT(ISNUMBER($G32))),"",$C32*$G32)</f>
        <v>9</v>
      </c>
      <c r="I32" t="s">
        <v>14</v>
      </c>
    </row>
    <row r="33" spans="1:9" x14ac:dyDescent="0.25">
      <c r="A33" t="s">
        <v>35</v>
      </c>
      <c r="B33" t="s">
        <v>39</v>
      </c>
      <c r="C33" s="1">
        <v>30</v>
      </c>
      <c r="D33" t="s">
        <v>11</v>
      </c>
      <c r="E33" t="s">
        <v>36</v>
      </c>
      <c r="F33" t="s">
        <v>13</v>
      </c>
      <c r="G33" s="2">
        <v>0.7253</v>
      </c>
      <c r="H33" s="3">
        <f>IF(OR(NOT(ISNUMBER($C33)),NOT(ISNUMBER($G33))),"",$C33*$G33)</f>
        <v>21.759</v>
      </c>
      <c r="I33" t="s">
        <v>14</v>
      </c>
    </row>
    <row r="34" spans="1:9" x14ac:dyDescent="0.25">
      <c r="A34" t="s">
        <v>35</v>
      </c>
      <c r="B34" t="s">
        <v>23</v>
      </c>
      <c r="C34" s="1">
        <v>300</v>
      </c>
      <c r="D34" t="s">
        <v>11</v>
      </c>
      <c r="E34" t="s">
        <v>36</v>
      </c>
      <c r="F34" t="s">
        <v>13</v>
      </c>
      <c r="G34" s="2">
        <v>0.0015</v>
      </c>
      <c r="H34" s="3">
        <f>IF(OR(NOT(ISNUMBER($C34)),NOT(ISNUMBER($G34))),"",$C34*$G34)</f>
        <v>0.45</v>
      </c>
      <c r="I34" t="s">
        <v>14</v>
      </c>
    </row>
    <row r="35" spans="1:9" x14ac:dyDescent="0.25">
      <c r="A35" t="s">
        <v>35</v>
      </c>
      <c r="B35" t="s">
        <v>40</v>
      </c>
      <c r="C35" s="1">
        <v>15</v>
      </c>
      <c r="D35" t="s">
        <v>11</v>
      </c>
      <c r="E35" t="s">
        <v>36</v>
      </c>
      <c r="F35" t="s">
        <v>13</v>
      </c>
      <c r="G35" s="2">
        <v>0.27</v>
      </c>
      <c r="H35" s="3">
        <f>IF(OR(NOT(ISNUMBER($C35)),NOT(ISNUMBER($G35))),"",$C35*$G35)</f>
        <v>4.05</v>
      </c>
      <c r="I35" t="s">
        <v>14</v>
      </c>
    </row>
    <row r="36" spans="1:9" x14ac:dyDescent="0.25">
      <c r="A36" t="s">
        <v>35</v>
      </c>
      <c r="B36" t="s">
        <v>29</v>
      </c>
      <c r="C36" s="1">
        <v>30</v>
      </c>
      <c r="D36" t="s">
        <v>19</v>
      </c>
      <c r="E36" t="s">
        <v>36</v>
      </c>
      <c r="F36" t="s">
        <v>13</v>
      </c>
      <c r="G36" s="2">
        <v>0.0806</v>
      </c>
      <c r="H36" s="3">
        <f>IF(OR(NOT(ISNUMBER($C36)),NOT(ISNUMBER($G36))),"",$C36*$G36)</f>
        <v>2.418</v>
      </c>
      <c r="I36" t="s">
        <v>14</v>
      </c>
    </row>
    <row r="37" spans="1:9" x14ac:dyDescent="0.25">
      <c r="A37" t="s">
        <v>41</v>
      </c>
      <c r="B37" t="s">
        <v>42</v>
      </c>
      <c r="C37" s="1">
        <v>55</v>
      </c>
      <c r="D37" t="s">
        <v>11</v>
      </c>
      <c r="E37" t="s">
        <v>36</v>
      </c>
      <c r="F37" t="s">
        <v>13</v>
      </c>
      <c r="G37" s="2">
        <v>0.1267</v>
      </c>
      <c r="H37" s="3">
        <f>IF(OR(NOT(ISNUMBER($C37)),NOT(ISNUMBER($G37))),"",$C37*$G37)</f>
        <v>6.9685</v>
      </c>
      <c r="I37" t="s">
        <v>14</v>
      </c>
    </row>
    <row r="38" spans="1:9" x14ac:dyDescent="0.25">
      <c r="A38" t="s">
        <v>41</v>
      </c>
      <c r="B38" t="s">
        <v>43</v>
      </c>
      <c r="C38" s="1">
        <v>5</v>
      </c>
      <c r="D38" t="s">
        <v>19</v>
      </c>
      <c r="E38" t="s">
        <v>36</v>
      </c>
      <c r="F38" t="s">
        <v>13</v>
      </c>
      <c r="G38" s="2">
        <v>0.152</v>
      </c>
      <c r="H38" s="3">
        <f>IF(OR(NOT(ISNUMBER($C38)),NOT(ISNUMBER($G38))),"",$C38*$G38)</f>
        <v>0.76</v>
      </c>
      <c r="I38" t="s">
        <v>14</v>
      </c>
    </row>
    <row r="39" spans="1:9" x14ac:dyDescent="0.25">
      <c r="A39" t="s">
        <v>41</v>
      </c>
      <c r="B39" t="s">
        <v>22</v>
      </c>
      <c r="C39" s="1">
        <v>1</v>
      </c>
      <c r="D39" t="s">
        <v>16</v>
      </c>
      <c r="E39" t="s">
        <v>36</v>
      </c>
      <c r="F39" t="s">
        <v>13</v>
      </c>
      <c r="G39" s="2">
        <v>3.64</v>
      </c>
      <c r="H39" s="3">
        <f>IF(OR(NOT(ISNUMBER($C39)),NOT(ISNUMBER($G39))),"",$C39*$G39)</f>
        <v>3.64</v>
      </c>
      <c r="I39" t="s">
        <v>14</v>
      </c>
    </row>
    <row r="40" spans="1:9" x14ac:dyDescent="0.25">
      <c r="A40" t="s">
        <v>41</v>
      </c>
      <c r="B40" t="s">
        <v>38</v>
      </c>
      <c r="C40" s="1">
        <v>1</v>
      </c>
      <c r="D40" t="s">
        <v>16</v>
      </c>
      <c r="E40" t="s">
        <v>36</v>
      </c>
      <c r="F40" t="s">
        <v>13</v>
      </c>
      <c r="G40" s="2">
        <v>1.86</v>
      </c>
      <c r="H40" s="3">
        <f>IF(OR(NOT(ISNUMBER($C40)),NOT(ISNUMBER($G40))),"",$C40*$G40)</f>
        <v>1.86</v>
      </c>
      <c r="I40" t="s">
        <v>14</v>
      </c>
    </row>
    <row r="41" spans="1:9" x14ac:dyDescent="0.25">
      <c r="A41" t="s">
        <v>41</v>
      </c>
      <c r="B41" t="s">
        <v>27</v>
      </c>
      <c r="C41" s="1">
        <v>100</v>
      </c>
      <c r="D41" t="s">
        <v>19</v>
      </c>
      <c r="E41" t="s">
        <v>36</v>
      </c>
      <c r="F41" t="s">
        <v>13</v>
      </c>
      <c r="G41" s="2">
        <v>0.09</v>
      </c>
      <c r="H41" s="3">
        <f>IF(OR(NOT(ISNUMBER($C41)),NOT(ISNUMBER($G41))),"",$C41*$G41)</f>
        <v>9</v>
      </c>
      <c r="I41" t="s">
        <v>14</v>
      </c>
    </row>
    <row r="42" spans="1:9" x14ac:dyDescent="0.25">
      <c r="A42" t="s">
        <v>41</v>
      </c>
      <c r="B42" t="s">
        <v>39</v>
      </c>
      <c r="C42" s="1">
        <v>30</v>
      </c>
      <c r="D42" t="s">
        <v>11</v>
      </c>
      <c r="E42" t="s">
        <v>36</v>
      </c>
      <c r="F42" t="s">
        <v>13</v>
      </c>
      <c r="G42" s="2">
        <v>0.7253</v>
      </c>
      <c r="H42" s="3">
        <f>IF(OR(NOT(ISNUMBER($C42)),NOT(ISNUMBER($G42))),"",$C42*$G42)</f>
        <v>21.759</v>
      </c>
      <c r="I42" t="s">
        <v>14</v>
      </c>
    </row>
    <row r="43" spans="1:9" x14ac:dyDescent="0.25">
      <c r="A43" t="s">
        <v>41</v>
      </c>
      <c r="B43" t="s">
        <v>23</v>
      </c>
      <c r="C43" s="1">
        <v>300</v>
      </c>
      <c r="D43" t="s">
        <v>11</v>
      </c>
      <c r="E43" t="s">
        <v>36</v>
      </c>
      <c r="F43" t="s">
        <v>13</v>
      </c>
      <c r="G43" s="2">
        <v>0.0015</v>
      </c>
      <c r="H43" s="3">
        <f>IF(OR(NOT(ISNUMBER($C43)),NOT(ISNUMBER($G43))),"",$C43*$G43)</f>
        <v>0.45</v>
      </c>
      <c r="I43" t="s">
        <v>14</v>
      </c>
    </row>
    <row r="44" spans="1:9" x14ac:dyDescent="0.25">
      <c r="A44" t="s">
        <v>41</v>
      </c>
      <c r="B44" t="s">
        <v>40</v>
      </c>
      <c r="C44" s="1">
        <v>15</v>
      </c>
      <c r="D44" t="s">
        <v>11</v>
      </c>
      <c r="E44" t="s">
        <v>36</v>
      </c>
      <c r="F44" t="s">
        <v>13</v>
      </c>
      <c r="G44" s="2">
        <v>0.27</v>
      </c>
      <c r="H44" s="3">
        <f>IF(OR(NOT(ISNUMBER($C44)),NOT(ISNUMBER($G44))),"",$C44*$G44)</f>
        <v>4.05</v>
      </c>
      <c r="I44" t="s">
        <v>14</v>
      </c>
    </row>
    <row r="45" spans="1:9" x14ac:dyDescent="0.25">
      <c r="A45" t="s">
        <v>44</v>
      </c>
      <c r="B45" t="s">
        <v>42</v>
      </c>
      <c r="C45" s="1">
        <v>25</v>
      </c>
      <c r="D45" t="s">
        <v>11</v>
      </c>
      <c r="E45" t="s">
        <v>45</v>
      </c>
      <c r="F45" t="s">
        <v>13</v>
      </c>
      <c r="G45" s="2">
        <v>0.1267</v>
      </c>
      <c r="H45" s="3">
        <f>IF(OR(NOT(ISNUMBER($C45)),NOT(ISNUMBER($G45))),"",$C45*$G45)</f>
        <v>3.1675</v>
      </c>
      <c r="I45" t="s">
        <v>14</v>
      </c>
    </row>
    <row r="46" spans="1:9" x14ac:dyDescent="0.25">
      <c r="A46" t="s">
        <v>44</v>
      </c>
      <c r="B46" t="s">
        <v>43</v>
      </c>
      <c r="C46" s="1">
        <v>25</v>
      </c>
      <c r="D46" t="s">
        <v>19</v>
      </c>
      <c r="E46" t="s">
        <v>45</v>
      </c>
      <c r="F46" t="s">
        <v>13</v>
      </c>
      <c r="G46" s="2">
        <v>0.152</v>
      </c>
      <c r="H46" s="3">
        <f>IF(OR(NOT(ISNUMBER($C46)),NOT(ISNUMBER($G46))),"",$C46*$G46)</f>
        <v>3.8</v>
      </c>
      <c r="I46" t="s">
        <v>14</v>
      </c>
    </row>
    <row r="47" spans="1:9" x14ac:dyDescent="0.25">
      <c r="A47" t="s">
        <v>44</v>
      </c>
      <c r="B47" t="s">
        <v>22</v>
      </c>
      <c r="C47" s="1">
        <v>1</v>
      </c>
      <c r="D47" t="s">
        <v>16</v>
      </c>
      <c r="E47" t="s">
        <v>45</v>
      </c>
      <c r="F47" t="s">
        <v>13</v>
      </c>
      <c r="G47" s="2">
        <v>3.64</v>
      </c>
      <c r="H47" s="3">
        <f>IF(OR(NOT(ISNUMBER($C47)),NOT(ISNUMBER($G47))),"",$C47*$G47)</f>
        <v>3.64</v>
      </c>
      <c r="I47" t="s">
        <v>14</v>
      </c>
    </row>
    <row r="48" spans="1:9" x14ac:dyDescent="0.25">
      <c r="A48" t="s">
        <v>44</v>
      </c>
      <c r="B48" t="s">
        <v>46</v>
      </c>
      <c r="C48" s="1">
        <v>0.5</v>
      </c>
      <c r="D48" t="s">
        <v>11</v>
      </c>
      <c r="E48" t="s">
        <v>45</v>
      </c>
      <c r="F48" t="s">
        <v>13</v>
      </c>
      <c r="G48" s="2">
        <v>0.749</v>
      </c>
      <c r="H48" s="3">
        <f>IF(OR(NOT(ISNUMBER($C48)),NOT(ISNUMBER($G48))),"",$C48*$G48)</f>
        <v>0.3745</v>
      </c>
      <c r="I48" t="s">
        <v>14</v>
      </c>
    </row>
    <row r="49" spans="1:9" x14ac:dyDescent="0.25">
      <c r="A49" t="s">
        <v>44</v>
      </c>
      <c r="B49" t="s">
        <v>23</v>
      </c>
      <c r="C49" s="1">
        <v>300</v>
      </c>
      <c r="D49" t="s">
        <v>11</v>
      </c>
      <c r="E49" t="s">
        <v>45</v>
      </c>
      <c r="F49" t="s">
        <v>13</v>
      </c>
      <c r="G49" s="2">
        <v>0.0015</v>
      </c>
      <c r="H49" s="3">
        <f>IF(OR(NOT(ISNUMBER($C49)),NOT(ISNUMBER($G49))),"",$C49*$G49)</f>
        <v>0.45</v>
      </c>
      <c r="I49" t="s">
        <v>14</v>
      </c>
    </row>
    <row r="50" spans="1:9" x14ac:dyDescent="0.25">
      <c r="A50" t="s">
        <v>44</v>
      </c>
      <c r="B50" t="s">
        <v>47</v>
      </c>
      <c r="C50" s="1">
        <v>15</v>
      </c>
      <c r="D50" t="s">
        <v>11</v>
      </c>
      <c r="E50" t="s">
        <v>45</v>
      </c>
      <c r="F50" t="s">
        <v>13</v>
      </c>
      <c r="G50" s="2">
        <v>0.29</v>
      </c>
      <c r="H50" s="3">
        <f>IF(OR(NOT(ISNUMBER($C50)),NOT(ISNUMBER($G50))),"",$C50*$G50)</f>
        <v>4.35</v>
      </c>
      <c r="I50" t="s">
        <v>14</v>
      </c>
    </row>
    <row r="51" spans="1:9" x14ac:dyDescent="0.25">
      <c r="A51" t="s">
        <v>44</v>
      </c>
      <c r="B51" t="s">
        <v>48</v>
      </c>
      <c r="C51" s="1">
        <v>200</v>
      </c>
      <c r="D51" t="s">
        <v>19</v>
      </c>
      <c r="E51" t="s">
        <v>45</v>
      </c>
      <c r="F51" t="s">
        <v>13</v>
      </c>
      <c r="G51" s="2">
        <v>0.0467</v>
      </c>
      <c r="H51" s="3">
        <f>IF(OR(NOT(ISNUMBER($C51)),NOT(ISNUMBER($G51))),"",$C51*$G51)</f>
        <v>9.34</v>
      </c>
      <c r="I51" t="s">
        <v>14</v>
      </c>
    </row>
    <row r="52" spans="1:9" x14ac:dyDescent="0.25">
      <c r="A52" t="s">
        <v>44</v>
      </c>
      <c r="B52" t="s">
        <v>24</v>
      </c>
      <c r="C52" s="1">
        <v>1</v>
      </c>
      <c r="D52" t="s">
        <v>16</v>
      </c>
      <c r="E52" t="s">
        <v>45</v>
      </c>
      <c r="F52" t="s">
        <v>13</v>
      </c>
      <c r="G52" s="2">
        <v>1.6429</v>
      </c>
      <c r="H52" s="3">
        <f>IF(OR(NOT(ISNUMBER($C52)),NOT(ISNUMBER($G52))),"",$C52*$G52)</f>
        <v>1.6429</v>
      </c>
      <c r="I52" t="s">
        <v>14</v>
      </c>
    </row>
    <row r="53" spans="1:9" x14ac:dyDescent="0.25">
      <c r="A53" t="s">
        <v>49</v>
      </c>
      <c r="B53" t="s">
        <v>42</v>
      </c>
      <c r="C53" s="1">
        <v>20</v>
      </c>
      <c r="D53" t="s">
        <v>11</v>
      </c>
      <c r="E53" t="s">
        <v>26</v>
      </c>
      <c r="F53" t="s">
        <v>13</v>
      </c>
      <c r="G53" s="2">
        <v>0.1267</v>
      </c>
      <c r="H53" s="3">
        <f>IF(OR(NOT(ISNUMBER($C53)),NOT(ISNUMBER($G53))),"",$C53*$G53)</f>
        <v>2.534</v>
      </c>
      <c r="I53" t="s">
        <v>14</v>
      </c>
    </row>
    <row r="54" spans="1:9" x14ac:dyDescent="0.25">
      <c r="A54" t="s">
        <v>49</v>
      </c>
      <c r="B54" t="s">
        <v>22</v>
      </c>
      <c r="C54" s="1">
        <v>1</v>
      </c>
      <c r="D54" t="s">
        <v>16</v>
      </c>
      <c r="E54" t="s">
        <v>26</v>
      </c>
      <c r="F54" t="s">
        <v>13</v>
      </c>
      <c r="G54" s="2">
        <v>3.64</v>
      </c>
      <c r="H54" s="3">
        <f>IF(OR(NOT(ISNUMBER($C54)),NOT(ISNUMBER($G54))),"",$C54*$G54)</f>
        <v>3.64</v>
      </c>
      <c r="I54" t="s">
        <v>14</v>
      </c>
    </row>
    <row r="55" spans="1:9" x14ac:dyDescent="0.25">
      <c r="A55" t="s">
        <v>49</v>
      </c>
      <c r="B55" t="s">
        <v>27</v>
      </c>
      <c r="C55" s="1">
        <v>150</v>
      </c>
      <c r="D55" t="s">
        <v>19</v>
      </c>
      <c r="E55" t="s">
        <v>26</v>
      </c>
      <c r="F55" t="s">
        <v>13</v>
      </c>
      <c r="G55" s="2">
        <v>0.09</v>
      </c>
      <c r="H55" s="3">
        <f>IF(OR(NOT(ISNUMBER($C55)),NOT(ISNUMBER($G55))),"",$C55*$G55)</f>
        <v>13.5</v>
      </c>
      <c r="I55" t="s">
        <v>14</v>
      </c>
    </row>
    <row r="56" spans="1:9" x14ac:dyDescent="0.25">
      <c r="A56" t="s">
        <v>49</v>
      </c>
      <c r="B56" t="s">
        <v>23</v>
      </c>
      <c r="C56" s="1">
        <v>300</v>
      </c>
      <c r="D56" t="s">
        <v>11</v>
      </c>
      <c r="E56" t="s">
        <v>26</v>
      </c>
      <c r="F56" t="s">
        <v>13</v>
      </c>
      <c r="G56" s="2">
        <v>0.0015</v>
      </c>
      <c r="H56" s="3">
        <f>IF(OR(NOT(ISNUMBER($C56)),NOT(ISNUMBER($G56))),"",$C56*$G56)</f>
        <v>0.45</v>
      </c>
      <c r="I56" t="s">
        <v>14</v>
      </c>
    </row>
    <row r="57" spans="1:9" x14ac:dyDescent="0.25">
      <c r="A57" t="s">
        <v>49</v>
      </c>
      <c r="B57" t="s">
        <v>24</v>
      </c>
      <c r="C57" s="1">
        <v>1</v>
      </c>
      <c r="D57" t="s">
        <v>16</v>
      </c>
      <c r="E57" t="s">
        <v>26</v>
      </c>
      <c r="F57" t="s">
        <v>13</v>
      </c>
      <c r="G57" s="2">
        <v>1.6429</v>
      </c>
      <c r="H57" s="3">
        <f>IF(OR(NOT(ISNUMBER($C57)),NOT(ISNUMBER($G57))),"",$C57*$G57)</f>
        <v>1.6429</v>
      </c>
      <c r="I57" t="s">
        <v>14</v>
      </c>
    </row>
    <row r="58" spans="1:9" x14ac:dyDescent="0.25">
      <c r="A58" t="s">
        <v>49</v>
      </c>
      <c r="B58" t="s">
        <v>29</v>
      </c>
      <c r="C58" s="1">
        <v>20</v>
      </c>
      <c r="D58" t="s">
        <v>19</v>
      </c>
      <c r="E58" t="s">
        <v>26</v>
      </c>
      <c r="F58" t="s">
        <v>13</v>
      </c>
      <c r="G58" s="2">
        <v>0.0806</v>
      </c>
      <c r="H58" s="3">
        <f>IF(OR(NOT(ISNUMBER($C58)),NOT(ISNUMBER($G58))),"",$C58*$G58)</f>
        <v>1.612</v>
      </c>
      <c r="I58" t="s">
        <v>14</v>
      </c>
    </row>
    <row r="59" spans="1:9" x14ac:dyDescent="0.25">
      <c r="A59" t="s">
        <v>49</v>
      </c>
      <c r="B59" t="s">
        <v>30</v>
      </c>
      <c r="C59" s="1">
        <v>40</v>
      </c>
      <c r="D59" t="s">
        <v>19</v>
      </c>
      <c r="E59" t="s">
        <v>26</v>
      </c>
      <c r="F59" t="s">
        <v>13</v>
      </c>
      <c r="G59" s="2">
        <v>0.34</v>
      </c>
      <c r="H59" s="3">
        <f>IF(OR(NOT(ISNUMBER($C59)),NOT(ISNUMBER($G59))),"",$C59*$G59)</f>
        <v>13.6</v>
      </c>
      <c r="I59" t="s">
        <v>14</v>
      </c>
    </row>
    <row r="60" spans="1:9" x14ac:dyDescent="0.25">
      <c r="A60" t="s">
        <v>50</v>
      </c>
      <c r="B60" t="s">
        <v>51</v>
      </c>
      <c r="C60" s="1">
        <v>0.7</v>
      </c>
      <c r="D60" t="s">
        <v>11</v>
      </c>
      <c r="E60" t="s">
        <v>52</v>
      </c>
      <c r="F60" t="s">
        <v>13</v>
      </c>
      <c r="G60" s="2"/>
      <c r="H60" s="3" t="str">
        <f>IF(OR(NOT(ISNUMBER($C60)),NOT(ISNUMBER($G60))),"",$C60*$G60)</f>
        <v/>
      </c>
      <c r="I60" t="s">
        <v>53</v>
      </c>
    </row>
    <row r="61" spans="1:9" x14ac:dyDescent="0.25">
      <c r="A61" t="s">
        <v>50</v>
      </c>
      <c r="B61" t="s">
        <v>54</v>
      </c>
      <c r="C61" s="1">
        <v>1</v>
      </c>
      <c r="D61" t="s">
        <v>11</v>
      </c>
      <c r="E61" t="s">
        <v>52</v>
      </c>
      <c r="F61" t="s">
        <v>13</v>
      </c>
      <c r="G61" s="2"/>
      <c r="H61" s="3" t="str">
        <f>IF(OR(NOT(ISNUMBER($C61)),NOT(ISNUMBER($G61))),"",$C61*$G61)</f>
        <v/>
      </c>
      <c r="I61" t="s">
        <v>53</v>
      </c>
    </row>
    <row r="62" spans="1:9" x14ac:dyDescent="0.25">
      <c r="A62" t="s">
        <v>50</v>
      </c>
      <c r="B62" t="s">
        <v>55</v>
      </c>
      <c r="C62" s="1">
        <v>2</v>
      </c>
      <c r="D62" t="s">
        <v>16</v>
      </c>
      <c r="E62" t="s">
        <v>52</v>
      </c>
      <c r="F62" t="s">
        <v>13</v>
      </c>
      <c r="G62" s="2">
        <v>11.0126</v>
      </c>
      <c r="H62" s="3">
        <f>IF(OR(NOT(ISNUMBER($C62)),NOT(ISNUMBER($G62))),"",$C62*$G62)</f>
        <v>22.0252</v>
      </c>
      <c r="I62" t="s">
        <v>14</v>
      </c>
    </row>
    <row r="63" spans="1:9" x14ac:dyDescent="0.25">
      <c r="A63" t="s">
        <v>50</v>
      </c>
      <c r="B63" t="s">
        <v>56</v>
      </c>
      <c r="C63" s="1">
        <v>1</v>
      </c>
      <c r="D63" t="s">
        <v>11</v>
      </c>
      <c r="E63" t="s">
        <v>52</v>
      </c>
      <c r="F63" t="s">
        <v>13</v>
      </c>
      <c r="G63" s="2">
        <v>2.864</v>
      </c>
      <c r="H63" s="3">
        <f>IF(OR(NOT(ISNUMBER($C63)),NOT(ISNUMBER($G63))),"",$C63*$G63)</f>
        <v>2.864</v>
      </c>
      <c r="I63" t="s">
        <v>14</v>
      </c>
    </row>
    <row r="64" spans="1:9" x14ac:dyDescent="0.25">
      <c r="A64" t="s">
        <v>50</v>
      </c>
      <c r="B64" t="s">
        <v>57</v>
      </c>
      <c r="C64" s="1">
        <v>20</v>
      </c>
      <c r="D64" t="s">
        <v>11</v>
      </c>
      <c r="E64" t="s">
        <v>52</v>
      </c>
      <c r="F64" t="s">
        <v>13</v>
      </c>
      <c r="G64" s="2"/>
      <c r="H64" s="3" t="str">
        <f>IF(OR(NOT(ISNUMBER($C64)),NOT(ISNUMBER($G64))),"",$C64*$G64)</f>
        <v/>
      </c>
      <c r="I64" t="s">
        <v>53</v>
      </c>
    </row>
    <row r="65" spans="1:9" x14ac:dyDescent="0.25">
      <c r="A65" t="s">
        <v>50</v>
      </c>
      <c r="B65" t="s">
        <v>58</v>
      </c>
      <c r="C65" s="1">
        <v>1</v>
      </c>
      <c r="D65" t="s">
        <v>11</v>
      </c>
      <c r="E65" t="s">
        <v>52</v>
      </c>
      <c r="F65" t="s">
        <v>13</v>
      </c>
      <c r="G65" s="2">
        <v>1.1667</v>
      </c>
      <c r="H65" s="3">
        <f>IF(OR(NOT(ISNUMBER($C65)),NOT(ISNUMBER($G65))),"",$C65*$G65)</f>
        <v>1.1667</v>
      </c>
      <c r="I65" t="s">
        <v>14</v>
      </c>
    </row>
    <row r="66" spans="1:9" x14ac:dyDescent="0.25">
      <c r="A66" t="s">
        <v>50</v>
      </c>
      <c r="B66" t="s">
        <v>59</v>
      </c>
      <c r="C66" s="1">
        <v>1</v>
      </c>
      <c r="D66" t="s">
        <v>11</v>
      </c>
      <c r="E66" t="s">
        <v>52</v>
      </c>
      <c r="F66" t="s">
        <v>13</v>
      </c>
      <c r="G66" s="2"/>
      <c r="H66" s="3" t="str">
        <f>IF(OR(NOT(ISNUMBER($C66)),NOT(ISNUMBER($G66))),"",$C66*$G66)</f>
        <v/>
      </c>
      <c r="I66" t="s">
        <v>53</v>
      </c>
    </row>
    <row r="67" spans="1:9" x14ac:dyDescent="0.25">
      <c r="A67" t="s">
        <v>50</v>
      </c>
      <c r="B67" t="s">
        <v>60</v>
      </c>
      <c r="C67" s="1">
        <v>0.8</v>
      </c>
      <c r="D67" t="s">
        <v>11</v>
      </c>
      <c r="E67" t="s">
        <v>52</v>
      </c>
      <c r="F67" t="s">
        <v>13</v>
      </c>
      <c r="G67" s="2"/>
      <c r="H67" s="3" t="str">
        <f>IF(OR(NOT(ISNUMBER($C67)),NOT(ISNUMBER($G67))),"",$C67*$G67)</f>
        <v/>
      </c>
      <c r="I67" t="s">
        <v>53</v>
      </c>
    </row>
    <row r="68" spans="1:9" x14ac:dyDescent="0.25">
      <c r="A68" t="s">
        <v>50</v>
      </c>
      <c r="B68" t="s">
        <v>61</v>
      </c>
      <c r="C68" s="1">
        <v>5</v>
      </c>
      <c r="D68" t="s">
        <v>11</v>
      </c>
      <c r="E68" t="s">
        <v>52</v>
      </c>
      <c r="F68" t="s">
        <v>13</v>
      </c>
      <c r="G68" s="2">
        <v>0.395</v>
      </c>
      <c r="H68" s="3">
        <f>IF(OR(NOT(ISNUMBER($C68)),NOT(ISNUMBER($G68))),"",$C68*$G68)</f>
        <v>1.975</v>
      </c>
      <c r="I68" t="s">
        <v>14</v>
      </c>
    </row>
    <row r="69" spans="1:9" x14ac:dyDescent="0.25">
      <c r="A69" t="s">
        <v>50</v>
      </c>
      <c r="B69" t="s">
        <v>62</v>
      </c>
      <c r="C69" s="1">
        <v>15</v>
      </c>
      <c r="D69" t="s">
        <v>11</v>
      </c>
      <c r="E69" t="s">
        <v>52</v>
      </c>
      <c r="F69" t="s">
        <v>13</v>
      </c>
      <c r="G69" s="2"/>
      <c r="H69" s="3" t="str">
        <f>IF(OR(NOT(ISNUMBER($C69)),NOT(ISNUMBER($G69))),"",$C69*$G69)</f>
        <v/>
      </c>
      <c r="I69" t="s">
        <v>53</v>
      </c>
    </row>
    <row r="70" spans="1:9" x14ac:dyDescent="0.25">
      <c r="A70" t="s">
        <v>50</v>
      </c>
      <c r="B70" t="s">
        <v>63</v>
      </c>
      <c r="C70" s="1">
        <v>5</v>
      </c>
      <c r="D70" t="s">
        <v>11</v>
      </c>
      <c r="E70" t="s">
        <v>52</v>
      </c>
      <c r="F70" t="s">
        <v>13</v>
      </c>
      <c r="G70" s="2">
        <v>0.09</v>
      </c>
      <c r="H70" s="3">
        <f>IF(OR(NOT(ISNUMBER($C70)),NOT(ISNUMBER($G70))),"",$C70*$G70)</f>
        <v>0.45</v>
      </c>
      <c r="I70" t="s">
        <v>14</v>
      </c>
    </row>
    <row r="71" spans="1:9" x14ac:dyDescent="0.25">
      <c r="A71" t="s">
        <v>64</v>
      </c>
      <c r="B71" t="s">
        <v>10</v>
      </c>
      <c r="C71" s="1">
        <v>17</v>
      </c>
      <c r="D71" t="s">
        <v>11</v>
      </c>
      <c r="E71" t="s">
        <v>12</v>
      </c>
      <c r="F71" t="s">
        <v>13</v>
      </c>
      <c r="G71" s="2">
        <v>1.1</v>
      </c>
      <c r="H71" s="3">
        <f>IF(OR(NOT(ISNUMBER($C71)),NOT(ISNUMBER($G71))),"",$C71*$G71)</f>
        <v>18.7</v>
      </c>
      <c r="I71" t="s">
        <v>14</v>
      </c>
    </row>
    <row r="72" spans="1:9" x14ac:dyDescent="0.25">
      <c r="A72" t="s">
        <v>64</v>
      </c>
      <c r="B72" t="s">
        <v>27</v>
      </c>
      <c r="C72" s="1">
        <v>200</v>
      </c>
      <c r="D72" t="s">
        <v>19</v>
      </c>
      <c r="E72" t="s">
        <v>12</v>
      </c>
      <c r="F72" t="s">
        <v>13</v>
      </c>
      <c r="G72" s="2">
        <v>0.09</v>
      </c>
      <c r="H72" s="3">
        <f>IF(OR(NOT(ISNUMBER($C72)),NOT(ISNUMBER($G72))),"",$C72*$G72)</f>
        <v>18</v>
      </c>
      <c r="I72" t="s">
        <v>14</v>
      </c>
    </row>
    <row r="73" spans="1:9" x14ac:dyDescent="0.25">
      <c r="A73" t="s">
        <v>64</v>
      </c>
      <c r="B73" t="s">
        <v>15</v>
      </c>
      <c r="C73" s="1">
        <v>1</v>
      </c>
      <c r="D73" t="s">
        <v>16</v>
      </c>
      <c r="E73" t="s">
        <v>12</v>
      </c>
      <c r="F73" t="s">
        <v>13</v>
      </c>
      <c r="G73" s="2">
        <v>5</v>
      </c>
      <c r="H73" s="3">
        <f>IF(OR(NOT(ISNUMBER($C73)),NOT(ISNUMBER($G73))),"",$C73*$G73)</f>
        <v>5</v>
      </c>
      <c r="I73" t="s">
        <v>14</v>
      </c>
    </row>
    <row r="74" spans="1:9" x14ac:dyDescent="0.25">
      <c r="A74" t="s">
        <v>64</v>
      </c>
      <c r="B74" t="s">
        <v>17</v>
      </c>
      <c r="C74" s="1">
        <v>1</v>
      </c>
      <c r="D74" t="s">
        <v>16</v>
      </c>
      <c r="E74" t="s">
        <v>12</v>
      </c>
      <c r="F74" t="s">
        <v>13</v>
      </c>
      <c r="G74" s="2">
        <v>1.6</v>
      </c>
      <c r="H74" s="3">
        <f>IF(OR(NOT(ISNUMBER($C74)),NOT(ISNUMBER($G74))),"",$C74*$G74)</f>
        <v>1.6</v>
      </c>
      <c r="I74" t="s">
        <v>14</v>
      </c>
    </row>
    <row r="75" spans="1:9" x14ac:dyDescent="0.25">
      <c r="A75" t="s">
        <v>65</v>
      </c>
      <c r="B75" t="s">
        <v>10</v>
      </c>
      <c r="C75" s="1">
        <v>17</v>
      </c>
      <c r="D75" t="s">
        <v>11</v>
      </c>
      <c r="E75" t="s">
        <v>21</v>
      </c>
      <c r="F75" t="s">
        <v>13</v>
      </c>
      <c r="G75" s="2">
        <v>1.1</v>
      </c>
      <c r="H75" s="3">
        <f>IF(OR(NOT(ISNUMBER($C75)),NOT(ISNUMBER($G75))),"",$C75*$G75)</f>
        <v>18.7</v>
      </c>
      <c r="I75" t="s">
        <v>14</v>
      </c>
    </row>
    <row r="76" spans="1:9" x14ac:dyDescent="0.25">
      <c r="A76" t="s">
        <v>65</v>
      </c>
      <c r="B76" t="s">
        <v>22</v>
      </c>
      <c r="C76" s="1">
        <v>1</v>
      </c>
      <c r="D76" t="s">
        <v>16</v>
      </c>
      <c r="E76" t="s">
        <v>21</v>
      </c>
      <c r="F76" t="s">
        <v>13</v>
      </c>
      <c r="G76" s="2">
        <v>3.64</v>
      </c>
      <c r="H76" s="3">
        <f>IF(OR(NOT(ISNUMBER($C76)),NOT(ISNUMBER($G76))),"",$C76*$G76)</f>
        <v>3.64</v>
      </c>
      <c r="I76" t="s">
        <v>14</v>
      </c>
    </row>
    <row r="77" spans="1:9" x14ac:dyDescent="0.25">
      <c r="A77" t="s">
        <v>65</v>
      </c>
      <c r="B77" t="s">
        <v>27</v>
      </c>
      <c r="C77" s="1">
        <v>150</v>
      </c>
      <c r="D77" t="s">
        <v>19</v>
      </c>
      <c r="E77" t="s">
        <v>21</v>
      </c>
      <c r="F77" t="s">
        <v>13</v>
      </c>
      <c r="G77" s="2">
        <v>0.09</v>
      </c>
      <c r="H77" s="3">
        <f>IF(OR(NOT(ISNUMBER($C77)),NOT(ISNUMBER($G77))),"",$C77*$G77)</f>
        <v>13.5</v>
      </c>
      <c r="I77" t="s">
        <v>14</v>
      </c>
    </row>
    <row r="78" spans="1:9" x14ac:dyDescent="0.25">
      <c r="A78" t="s">
        <v>65</v>
      </c>
      <c r="B78" t="s">
        <v>23</v>
      </c>
      <c r="C78" s="1">
        <v>300</v>
      </c>
      <c r="D78" t="s">
        <v>11</v>
      </c>
      <c r="E78" t="s">
        <v>21</v>
      </c>
      <c r="F78" t="s">
        <v>13</v>
      </c>
      <c r="G78" s="2">
        <v>0.0015</v>
      </c>
      <c r="H78" s="3">
        <f>IF(OR(NOT(ISNUMBER($C78)),NOT(ISNUMBER($G78))),"",$C78*$G78)</f>
        <v>0.45</v>
      </c>
      <c r="I78" t="s">
        <v>14</v>
      </c>
    </row>
    <row r="79" spans="1:9" x14ac:dyDescent="0.25">
      <c r="A79" t="s">
        <v>65</v>
      </c>
      <c r="B79" t="s">
        <v>24</v>
      </c>
      <c r="C79" s="1">
        <v>1</v>
      </c>
      <c r="D79" t="s">
        <v>16</v>
      </c>
      <c r="E79" t="s">
        <v>21</v>
      </c>
      <c r="F79" t="s">
        <v>13</v>
      </c>
      <c r="G79" s="2">
        <v>1.6429</v>
      </c>
      <c r="H79" s="3">
        <f>IF(OR(NOT(ISNUMBER($C79)),NOT(ISNUMBER($G79))),"",$C79*$G79)</f>
        <v>1.6429</v>
      </c>
      <c r="I79" t="s">
        <v>14</v>
      </c>
    </row>
    <row r="80" spans="1:9" x14ac:dyDescent="0.25">
      <c r="A80" t="s">
        <v>66</v>
      </c>
      <c r="B80" t="s">
        <v>10</v>
      </c>
      <c r="C80" s="1">
        <v>17</v>
      </c>
      <c r="D80" t="s">
        <v>11</v>
      </c>
      <c r="E80" t="s">
        <v>67</v>
      </c>
      <c r="F80" t="s">
        <v>13</v>
      </c>
      <c r="G80" s="2">
        <v>1.1</v>
      </c>
      <c r="H80" s="3">
        <f>IF(OR(NOT(ISNUMBER($C80)),NOT(ISNUMBER($G80))),"",$C80*$G80)</f>
        <v>18.7</v>
      </c>
      <c r="I80" t="s">
        <v>14</v>
      </c>
    </row>
    <row r="81" spans="1:9" x14ac:dyDescent="0.25">
      <c r="A81" t="s">
        <v>66</v>
      </c>
      <c r="B81" t="s">
        <v>68</v>
      </c>
      <c r="C81" s="1">
        <v>30</v>
      </c>
      <c r="D81" t="s">
        <v>19</v>
      </c>
      <c r="E81" t="s">
        <v>67</v>
      </c>
      <c r="F81" t="s">
        <v>13</v>
      </c>
      <c r="G81" s="2">
        <v>0.6085</v>
      </c>
      <c r="H81" s="3">
        <f>IF(OR(NOT(ISNUMBER($C81)),NOT(ISNUMBER($G81))),"",$C81*$G81)</f>
        <v>18.255</v>
      </c>
      <c r="I81" t="s">
        <v>14</v>
      </c>
    </row>
    <row r="82" spans="1:9" x14ac:dyDescent="0.25">
      <c r="A82" t="s">
        <v>66</v>
      </c>
      <c r="B82" t="s">
        <v>27</v>
      </c>
      <c r="C82" s="1">
        <v>200</v>
      </c>
      <c r="D82" t="s">
        <v>19</v>
      </c>
      <c r="E82" t="s">
        <v>67</v>
      </c>
      <c r="F82" t="s">
        <v>13</v>
      </c>
      <c r="G82" s="2">
        <v>0.09</v>
      </c>
      <c r="H82" s="3">
        <f>IF(OR(NOT(ISNUMBER($C82)),NOT(ISNUMBER($G82))),"",$C82*$G82)</f>
        <v>18</v>
      </c>
      <c r="I82" t="s">
        <v>14</v>
      </c>
    </row>
    <row r="83" spans="1:9" x14ac:dyDescent="0.25">
      <c r="A83" t="s">
        <v>66</v>
      </c>
      <c r="B83" t="s">
        <v>15</v>
      </c>
      <c r="C83" s="1">
        <v>1</v>
      </c>
      <c r="D83" t="s">
        <v>16</v>
      </c>
      <c r="E83" t="s">
        <v>67</v>
      </c>
      <c r="F83" t="s">
        <v>13</v>
      </c>
      <c r="G83" s="2">
        <v>5</v>
      </c>
      <c r="H83" s="3">
        <f>IF(OR(NOT(ISNUMBER($C83)),NOT(ISNUMBER($G83))),"",$C83*$G83)</f>
        <v>5</v>
      </c>
      <c r="I83" t="s">
        <v>14</v>
      </c>
    </row>
    <row r="84" spans="1:9" x14ac:dyDescent="0.25">
      <c r="A84" t="s">
        <v>66</v>
      </c>
      <c r="B84" t="s">
        <v>17</v>
      </c>
      <c r="C84" s="1">
        <v>1</v>
      </c>
      <c r="D84" t="s">
        <v>16</v>
      </c>
      <c r="E84" t="s">
        <v>67</v>
      </c>
      <c r="F84" t="s">
        <v>13</v>
      </c>
      <c r="G84" s="2">
        <v>1.6</v>
      </c>
      <c r="H84" s="3">
        <f>IF(OR(NOT(ISNUMBER($C84)),NOT(ISNUMBER($G84))),"",$C84*$G84)</f>
        <v>1.6</v>
      </c>
      <c r="I84" t="s">
        <v>14</v>
      </c>
    </row>
    <row r="85" spans="1:9" x14ac:dyDescent="0.25">
      <c r="A85" t="s">
        <v>69</v>
      </c>
      <c r="B85" t="s">
        <v>10</v>
      </c>
      <c r="C85" s="1">
        <v>17</v>
      </c>
      <c r="D85" t="s">
        <v>11</v>
      </c>
      <c r="E85" t="s">
        <v>70</v>
      </c>
      <c r="F85" t="s">
        <v>13</v>
      </c>
      <c r="G85" s="2">
        <v>1.1</v>
      </c>
      <c r="H85" s="3">
        <f>IF(OR(NOT(ISNUMBER($C85)),NOT(ISNUMBER($G85))),"",$C85*$G85)</f>
        <v>18.7</v>
      </c>
      <c r="I85" t="s">
        <v>14</v>
      </c>
    </row>
    <row r="86" spans="1:9" x14ac:dyDescent="0.25">
      <c r="A86" t="s">
        <v>69</v>
      </c>
      <c r="B86" t="s">
        <v>22</v>
      </c>
      <c r="C86" s="1">
        <v>1</v>
      </c>
      <c r="D86" t="s">
        <v>16</v>
      </c>
      <c r="E86" t="s">
        <v>70</v>
      </c>
      <c r="F86" t="s">
        <v>13</v>
      </c>
      <c r="G86" s="2">
        <v>3.64</v>
      </c>
      <c r="H86" s="3">
        <f>IF(OR(NOT(ISNUMBER($C86)),NOT(ISNUMBER($G86))),"",$C86*$G86)</f>
        <v>3.64</v>
      </c>
      <c r="I86" t="s">
        <v>14</v>
      </c>
    </row>
    <row r="87" spans="1:9" x14ac:dyDescent="0.25">
      <c r="A87" t="s">
        <v>69</v>
      </c>
      <c r="B87" t="s">
        <v>68</v>
      </c>
      <c r="C87" s="1">
        <v>30</v>
      </c>
      <c r="D87" t="s">
        <v>19</v>
      </c>
      <c r="E87" t="s">
        <v>70</v>
      </c>
      <c r="F87" t="s">
        <v>13</v>
      </c>
      <c r="G87" s="2">
        <v>0.6085</v>
      </c>
      <c r="H87" s="3">
        <f>IF(OR(NOT(ISNUMBER($C87)),NOT(ISNUMBER($G87))),"",$C87*$G87)</f>
        <v>18.255</v>
      </c>
      <c r="I87" t="s">
        <v>14</v>
      </c>
    </row>
    <row r="88" spans="1:9" x14ac:dyDescent="0.25">
      <c r="A88" t="s">
        <v>69</v>
      </c>
      <c r="B88" t="s">
        <v>27</v>
      </c>
      <c r="C88" s="1">
        <v>150</v>
      </c>
      <c r="D88" t="s">
        <v>19</v>
      </c>
      <c r="E88" t="s">
        <v>70</v>
      </c>
      <c r="F88" t="s">
        <v>13</v>
      </c>
      <c r="G88" s="2">
        <v>0.09</v>
      </c>
      <c r="H88" s="3">
        <f>IF(OR(NOT(ISNUMBER($C88)),NOT(ISNUMBER($G88))),"",$C88*$G88)</f>
        <v>13.5</v>
      </c>
      <c r="I88" t="s">
        <v>14</v>
      </c>
    </row>
    <row r="89" spans="1:9" x14ac:dyDescent="0.25">
      <c r="A89" t="s">
        <v>69</v>
      </c>
      <c r="B89" t="s">
        <v>23</v>
      </c>
      <c r="C89" s="1">
        <v>300</v>
      </c>
      <c r="D89" t="s">
        <v>11</v>
      </c>
      <c r="E89" t="s">
        <v>70</v>
      </c>
      <c r="F89" t="s">
        <v>13</v>
      </c>
      <c r="G89" s="2">
        <v>0.0015</v>
      </c>
      <c r="H89" s="3">
        <f>IF(OR(NOT(ISNUMBER($C89)),NOT(ISNUMBER($G89))),"",$C89*$G89)</f>
        <v>0.45</v>
      </c>
      <c r="I89" t="s">
        <v>14</v>
      </c>
    </row>
    <row r="90" spans="1:9" x14ac:dyDescent="0.25">
      <c r="A90" t="s">
        <v>69</v>
      </c>
      <c r="B90" t="s">
        <v>24</v>
      </c>
      <c r="C90" s="1">
        <v>1</v>
      </c>
      <c r="D90" t="s">
        <v>16</v>
      </c>
      <c r="E90" t="s">
        <v>70</v>
      </c>
      <c r="F90" t="s">
        <v>13</v>
      </c>
      <c r="G90" s="2">
        <v>1.6429</v>
      </c>
      <c r="H90" s="3">
        <f>IF(OR(NOT(ISNUMBER($C90)),NOT(ISNUMBER($G90))),"",$C90*$G90)</f>
        <v>1.6429</v>
      </c>
      <c r="I90" t="s">
        <v>14</v>
      </c>
    </row>
    <row r="91" spans="1:9" x14ac:dyDescent="0.25">
      <c r="A91" t="s">
        <v>71</v>
      </c>
      <c r="B91" t="s">
        <v>10</v>
      </c>
      <c r="C91" s="1">
        <v>17</v>
      </c>
      <c r="D91" t="s">
        <v>11</v>
      </c>
      <c r="E91" t="s">
        <v>12</v>
      </c>
      <c r="F91" t="s">
        <v>13</v>
      </c>
      <c r="G91" s="2">
        <v>1.1</v>
      </c>
      <c r="H91" s="3">
        <f>IF(OR(NOT(ISNUMBER($C91)),NOT(ISNUMBER($G91))),"",$C91*$G91)</f>
        <v>18.7</v>
      </c>
      <c r="I91" t="s">
        <v>14</v>
      </c>
    </row>
    <row r="92" spans="1:9" x14ac:dyDescent="0.25">
      <c r="A92" t="s">
        <v>71</v>
      </c>
      <c r="B92" t="s">
        <v>27</v>
      </c>
      <c r="C92" s="1">
        <v>200</v>
      </c>
      <c r="D92" t="s">
        <v>19</v>
      </c>
      <c r="E92" t="s">
        <v>12</v>
      </c>
      <c r="F92" t="s">
        <v>13</v>
      </c>
      <c r="G92" s="2">
        <v>0.09</v>
      </c>
      <c r="H92" s="3">
        <f>IF(OR(NOT(ISNUMBER($C92)),NOT(ISNUMBER($G92))),"",$C92*$G92)</f>
        <v>18</v>
      </c>
      <c r="I92" t="s">
        <v>14</v>
      </c>
    </row>
    <row r="93" spans="1:9" x14ac:dyDescent="0.25">
      <c r="A93" t="s">
        <v>71</v>
      </c>
      <c r="B93" t="s">
        <v>15</v>
      </c>
      <c r="C93" s="1">
        <v>1</v>
      </c>
      <c r="D93" t="s">
        <v>16</v>
      </c>
      <c r="E93" t="s">
        <v>12</v>
      </c>
      <c r="F93" t="s">
        <v>13</v>
      </c>
      <c r="G93" s="2">
        <v>5</v>
      </c>
      <c r="H93" s="3">
        <f>IF(OR(NOT(ISNUMBER($C93)),NOT(ISNUMBER($G93))),"",$C93*$G93)</f>
        <v>5</v>
      </c>
      <c r="I93" t="s">
        <v>14</v>
      </c>
    </row>
    <row r="94" spans="1:9" x14ac:dyDescent="0.25">
      <c r="A94" t="s">
        <v>71</v>
      </c>
      <c r="B94" t="s">
        <v>17</v>
      </c>
      <c r="C94" s="1">
        <v>1</v>
      </c>
      <c r="D94" t="s">
        <v>16</v>
      </c>
      <c r="E94" t="s">
        <v>12</v>
      </c>
      <c r="F94" t="s">
        <v>13</v>
      </c>
      <c r="G94" s="2">
        <v>1.6</v>
      </c>
      <c r="H94" s="3">
        <f>IF(OR(NOT(ISNUMBER($C94)),NOT(ISNUMBER($G94))),"",$C94*$G94)</f>
        <v>1.6</v>
      </c>
      <c r="I94" t="s">
        <v>14</v>
      </c>
    </row>
    <row r="95" spans="1:9" x14ac:dyDescent="0.25">
      <c r="A95" t="s">
        <v>72</v>
      </c>
      <c r="B95" t="s">
        <v>73</v>
      </c>
      <c r="C95" s="1">
        <v>40</v>
      </c>
      <c r="D95" t="s">
        <v>19</v>
      </c>
      <c r="E95" t="s">
        <v>74</v>
      </c>
      <c r="F95" t="s">
        <v>13</v>
      </c>
      <c r="G95" s="2">
        <v>0.5</v>
      </c>
      <c r="H95" s="3">
        <f>IF(OR(NOT(ISNUMBER($C95)),NOT(ISNUMBER($G95))),"",$C95*$G95)</f>
        <v>20</v>
      </c>
      <c r="I95" t="s">
        <v>14</v>
      </c>
    </row>
    <row r="96" spans="1:9" x14ac:dyDescent="0.25">
      <c r="A96" t="s">
        <v>72</v>
      </c>
      <c r="B96" t="s">
        <v>22</v>
      </c>
      <c r="C96" s="1">
        <v>1</v>
      </c>
      <c r="D96" t="s">
        <v>16</v>
      </c>
      <c r="E96" t="s">
        <v>74</v>
      </c>
      <c r="F96" t="s">
        <v>13</v>
      </c>
      <c r="G96" s="2">
        <v>3.64</v>
      </c>
      <c r="H96" s="3">
        <f>IF(OR(NOT(ISNUMBER($C96)),NOT(ISNUMBER($G96))),"",$C96*$G96)</f>
        <v>3.64</v>
      </c>
      <c r="I96" t="s">
        <v>14</v>
      </c>
    </row>
    <row r="97" spans="1:9" x14ac:dyDescent="0.25">
      <c r="A97" t="s">
        <v>72</v>
      </c>
      <c r="B97" t="s">
        <v>38</v>
      </c>
      <c r="C97" s="1">
        <v>1</v>
      </c>
      <c r="D97" t="s">
        <v>16</v>
      </c>
      <c r="E97" t="s">
        <v>74</v>
      </c>
      <c r="F97" t="s">
        <v>13</v>
      </c>
      <c r="G97" s="2">
        <v>1.86</v>
      </c>
      <c r="H97" s="3">
        <f>IF(OR(NOT(ISNUMBER($C97)),NOT(ISNUMBER($G97))),"",$C97*$G97)</f>
        <v>1.86</v>
      </c>
      <c r="I97" t="s">
        <v>14</v>
      </c>
    </row>
    <row r="98" spans="1:9" x14ac:dyDescent="0.25">
      <c r="A98" t="s">
        <v>72</v>
      </c>
      <c r="B98" t="s">
        <v>27</v>
      </c>
      <c r="C98" s="1">
        <v>100</v>
      </c>
      <c r="D98" t="s">
        <v>19</v>
      </c>
      <c r="E98" t="s">
        <v>74</v>
      </c>
      <c r="F98" t="s">
        <v>13</v>
      </c>
      <c r="G98" s="2">
        <v>0.09</v>
      </c>
      <c r="H98" s="3">
        <f>IF(OR(NOT(ISNUMBER($C98)),NOT(ISNUMBER($G98))),"",$C98*$G98)</f>
        <v>9</v>
      </c>
      <c r="I98" t="s">
        <v>14</v>
      </c>
    </row>
    <row r="99" spans="1:9" x14ac:dyDescent="0.25">
      <c r="A99" t="s">
        <v>72</v>
      </c>
      <c r="B99" t="s">
        <v>39</v>
      </c>
      <c r="C99" s="1">
        <v>30</v>
      </c>
      <c r="D99" t="s">
        <v>11</v>
      </c>
      <c r="E99" t="s">
        <v>74</v>
      </c>
      <c r="F99" t="s">
        <v>13</v>
      </c>
      <c r="G99" s="2">
        <v>0.7253</v>
      </c>
      <c r="H99" s="3">
        <f>IF(OR(NOT(ISNUMBER($C99)),NOT(ISNUMBER($G99))),"",$C99*$G99)</f>
        <v>21.759</v>
      </c>
      <c r="I99" t="s">
        <v>14</v>
      </c>
    </row>
    <row r="100" spans="1:9" x14ac:dyDescent="0.25">
      <c r="A100" t="s">
        <v>72</v>
      </c>
      <c r="B100" t="s">
        <v>23</v>
      </c>
      <c r="C100" s="1">
        <v>300</v>
      </c>
      <c r="D100" t="s">
        <v>11</v>
      </c>
      <c r="E100" t="s">
        <v>74</v>
      </c>
      <c r="F100" t="s">
        <v>13</v>
      </c>
      <c r="G100" s="2">
        <v>0.0015</v>
      </c>
      <c r="H100" s="3">
        <f>IF(OR(NOT(ISNUMBER($C100)),NOT(ISNUMBER($G100))),"",$C100*$G100)</f>
        <v>0.45</v>
      </c>
      <c r="I100" t="s">
        <v>14</v>
      </c>
    </row>
    <row r="101" spans="1:9" x14ac:dyDescent="0.25">
      <c r="A101" t="s">
        <v>72</v>
      </c>
      <c r="B101" t="s">
        <v>75</v>
      </c>
      <c r="C101" s="1">
        <v>15</v>
      </c>
      <c r="D101" t="s">
        <v>19</v>
      </c>
      <c r="E101" t="s">
        <v>74</v>
      </c>
      <c r="F101" t="s">
        <v>13</v>
      </c>
      <c r="G101" s="2">
        <v>0.72</v>
      </c>
      <c r="H101" s="3">
        <f>IF(OR(NOT(ISNUMBER($C101)),NOT(ISNUMBER($G101))),"",$C101*$G101)</f>
        <v>10.8</v>
      </c>
      <c r="I101" t="s">
        <v>14</v>
      </c>
    </row>
    <row r="102" spans="1:9" x14ac:dyDescent="0.25">
      <c r="A102" t="s">
        <v>72</v>
      </c>
      <c r="B102" t="s">
        <v>40</v>
      </c>
      <c r="C102" s="1">
        <v>15</v>
      </c>
      <c r="D102" t="s">
        <v>11</v>
      </c>
      <c r="E102" t="s">
        <v>74</v>
      </c>
      <c r="F102" t="s">
        <v>13</v>
      </c>
      <c r="G102" s="2">
        <v>0.27</v>
      </c>
      <c r="H102" s="3">
        <f>IF(OR(NOT(ISNUMBER($C102)),NOT(ISNUMBER($G102))),"",$C102*$G102)</f>
        <v>4.05</v>
      </c>
      <c r="I102" t="s">
        <v>14</v>
      </c>
    </row>
    <row r="103" spans="1:9" x14ac:dyDescent="0.25">
      <c r="A103" t="s">
        <v>76</v>
      </c>
      <c r="B103" t="s">
        <v>10</v>
      </c>
      <c r="C103" s="1">
        <v>17</v>
      </c>
      <c r="D103" t="s">
        <v>11</v>
      </c>
      <c r="E103" t="s">
        <v>77</v>
      </c>
      <c r="F103" t="s">
        <v>13</v>
      </c>
      <c r="G103" s="2">
        <v>1.1</v>
      </c>
      <c r="H103" s="3">
        <f>IF(OR(NOT(ISNUMBER($C103)),NOT(ISNUMBER($G103))),"",$C103*$G103)</f>
        <v>18.7</v>
      </c>
      <c r="I103" t="s">
        <v>14</v>
      </c>
    </row>
    <row r="104" spans="1:9" x14ac:dyDescent="0.25">
      <c r="A104" t="s">
        <v>76</v>
      </c>
      <c r="B104" t="s">
        <v>27</v>
      </c>
      <c r="C104" s="1">
        <v>200</v>
      </c>
      <c r="D104" t="s">
        <v>19</v>
      </c>
      <c r="E104" t="s">
        <v>77</v>
      </c>
      <c r="F104" t="s">
        <v>13</v>
      </c>
      <c r="G104" s="2">
        <v>0.09</v>
      </c>
      <c r="H104" s="3">
        <f>IF(OR(NOT(ISNUMBER($C104)),NOT(ISNUMBER($G104))),"",$C104*$G104)</f>
        <v>18</v>
      </c>
      <c r="I104" t="s">
        <v>14</v>
      </c>
    </row>
    <row r="105" spans="1:9" x14ac:dyDescent="0.25">
      <c r="A105" t="s">
        <v>76</v>
      </c>
      <c r="B105" t="s">
        <v>15</v>
      </c>
      <c r="C105" s="1">
        <v>1</v>
      </c>
      <c r="D105" t="s">
        <v>16</v>
      </c>
      <c r="E105" t="s">
        <v>77</v>
      </c>
      <c r="F105" t="s">
        <v>13</v>
      </c>
      <c r="G105" s="2">
        <v>5</v>
      </c>
      <c r="H105" s="3">
        <f>IF(OR(NOT(ISNUMBER($C105)),NOT(ISNUMBER($G105))),"",$C105*$G105)</f>
        <v>5</v>
      </c>
      <c r="I105" t="s">
        <v>14</v>
      </c>
    </row>
    <row r="106" spans="1:9" x14ac:dyDescent="0.25">
      <c r="A106" t="s">
        <v>76</v>
      </c>
      <c r="B106" t="s">
        <v>17</v>
      </c>
      <c r="C106" s="1">
        <v>1</v>
      </c>
      <c r="D106" t="s">
        <v>16</v>
      </c>
      <c r="E106" t="s">
        <v>77</v>
      </c>
      <c r="F106" t="s">
        <v>13</v>
      </c>
      <c r="G106" s="2">
        <v>1.6</v>
      </c>
      <c r="H106" s="3">
        <f>IF(OR(NOT(ISNUMBER($C106)),NOT(ISNUMBER($G106))),"",$C106*$G106)</f>
        <v>1.6</v>
      </c>
      <c r="I106" t="s">
        <v>14</v>
      </c>
    </row>
    <row r="107" spans="1:9" x14ac:dyDescent="0.25">
      <c r="A107" t="s">
        <v>76</v>
      </c>
      <c r="B107" t="s">
        <v>75</v>
      </c>
      <c r="C107" s="1">
        <v>15</v>
      </c>
      <c r="D107" t="s">
        <v>19</v>
      </c>
      <c r="E107" t="s">
        <v>77</v>
      </c>
      <c r="F107" t="s">
        <v>13</v>
      </c>
      <c r="G107" s="2">
        <v>0.72</v>
      </c>
      <c r="H107" s="3">
        <f>IF(OR(NOT(ISNUMBER($C107)),NOT(ISNUMBER($G107))),"",$C107*$G107)</f>
        <v>10.8</v>
      </c>
      <c r="I107" t="s">
        <v>14</v>
      </c>
    </row>
    <row r="108" spans="1:9" x14ac:dyDescent="0.25">
      <c r="A108" t="s">
        <v>78</v>
      </c>
      <c r="B108" t="s">
        <v>10</v>
      </c>
      <c r="C108" s="1">
        <v>17</v>
      </c>
      <c r="D108" t="s">
        <v>11</v>
      </c>
      <c r="E108" t="s">
        <v>79</v>
      </c>
      <c r="F108" t="s">
        <v>13</v>
      </c>
      <c r="G108" s="2">
        <v>1.1</v>
      </c>
      <c r="H108" s="3">
        <f>IF(OR(NOT(ISNUMBER($C108)),NOT(ISNUMBER($G108))),"",$C108*$G108)</f>
        <v>18.7</v>
      </c>
      <c r="I108" t="s">
        <v>14</v>
      </c>
    </row>
    <row r="109" spans="1:9" x14ac:dyDescent="0.25">
      <c r="A109" t="s">
        <v>78</v>
      </c>
      <c r="B109" t="s">
        <v>22</v>
      </c>
      <c r="C109" s="1">
        <v>1</v>
      </c>
      <c r="D109" t="s">
        <v>16</v>
      </c>
      <c r="E109" t="s">
        <v>79</v>
      </c>
      <c r="F109" t="s">
        <v>13</v>
      </c>
      <c r="G109" s="2">
        <v>3.64</v>
      </c>
      <c r="H109" s="3">
        <f>IF(OR(NOT(ISNUMBER($C109)),NOT(ISNUMBER($G109))),"",$C109*$G109)</f>
        <v>3.64</v>
      </c>
      <c r="I109" t="s">
        <v>14</v>
      </c>
    </row>
    <row r="110" spans="1:9" x14ac:dyDescent="0.25">
      <c r="A110" t="s">
        <v>78</v>
      </c>
      <c r="B110" t="s">
        <v>27</v>
      </c>
      <c r="C110" s="1">
        <v>150</v>
      </c>
      <c r="D110" t="s">
        <v>19</v>
      </c>
      <c r="E110" t="s">
        <v>79</v>
      </c>
      <c r="F110" t="s">
        <v>13</v>
      </c>
      <c r="G110" s="2">
        <v>0.09</v>
      </c>
      <c r="H110" s="3">
        <f>IF(OR(NOT(ISNUMBER($C110)),NOT(ISNUMBER($G110))),"",$C110*$G110)</f>
        <v>13.5</v>
      </c>
      <c r="I110" t="s">
        <v>14</v>
      </c>
    </row>
    <row r="111" spans="1:9" x14ac:dyDescent="0.25">
      <c r="A111" t="s">
        <v>78</v>
      </c>
      <c r="B111" t="s">
        <v>23</v>
      </c>
      <c r="C111" s="1">
        <v>300</v>
      </c>
      <c r="D111" t="s">
        <v>11</v>
      </c>
      <c r="E111" t="s">
        <v>79</v>
      </c>
      <c r="F111" t="s">
        <v>13</v>
      </c>
      <c r="G111" s="2">
        <v>0.0015</v>
      </c>
      <c r="H111" s="3">
        <f>IF(OR(NOT(ISNUMBER($C111)),NOT(ISNUMBER($G111))),"",$C111*$G111)</f>
        <v>0.45</v>
      </c>
      <c r="I111" t="s">
        <v>14</v>
      </c>
    </row>
    <row r="112" spans="1:9" x14ac:dyDescent="0.25">
      <c r="A112" t="s">
        <v>78</v>
      </c>
      <c r="B112" t="s">
        <v>24</v>
      </c>
      <c r="C112" s="1">
        <v>1</v>
      </c>
      <c r="D112" t="s">
        <v>16</v>
      </c>
      <c r="E112" t="s">
        <v>79</v>
      </c>
      <c r="F112" t="s">
        <v>13</v>
      </c>
      <c r="G112" s="2">
        <v>1.6429</v>
      </c>
      <c r="H112" s="3">
        <f>IF(OR(NOT(ISNUMBER($C112)),NOT(ISNUMBER($G112))),"",$C112*$G112)</f>
        <v>1.6429</v>
      </c>
      <c r="I112" t="s">
        <v>14</v>
      </c>
    </row>
    <row r="113" spans="1:9" x14ac:dyDescent="0.25">
      <c r="A113" t="s">
        <v>78</v>
      </c>
      <c r="B113" t="s">
        <v>75</v>
      </c>
      <c r="C113" s="1">
        <v>15</v>
      </c>
      <c r="D113" t="s">
        <v>19</v>
      </c>
      <c r="E113" t="s">
        <v>79</v>
      </c>
      <c r="F113" t="s">
        <v>13</v>
      </c>
      <c r="G113" s="2">
        <v>0.72</v>
      </c>
      <c r="H113" s="3">
        <f>IF(OR(NOT(ISNUMBER($C113)),NOT(ISNUMBER($G113))),"",$C113*$G113)</f>
        <v>10.8</v>
      </c>
      <c r="I113" t="s">
        <v>14</v>
      </c>
    </row>
    <row r="114" spans="1:9" x14ac:dyDescent="0.25">
      <c r="A114" t="s">
        <v>80</v>
      </c>
      <c r="B114" t="s">
        <v>10</v>
      </c>
      <c r="C114" s="1">
        <v>17</v>
      </c>
      <c r="D114" t="s">
        <v>11</v>
      </c>
      <c r="E114" t="s">
        <v>79</v>
      </c>
      <c r="F114" t="s">
        <v>13</v>
      </c>
      <c r="G114" s="2">
        <v>1.1</v>
      </c>
      <c r="H114" s="3">
        <f>IF(OR(NOT(ISNUMBER($C114)),NOT(ISNUMBER($G114))),"",$C114*$G114)</f>
        <v>18.7</v>
      </c>
      <c r="I114" t="s">
        <v>14</v>
      </c>
    </row>
    <row r="115" spans="1:9" x14ac:dyDescent="0.25">
      <c r="A115" t="s">
        <v>80</v>
      </c>
      <c r="B115" t="s">
        <v>22</v>
      </c>
      <c r="C115" s="1">
        <v>1</v>
      </c>
      <c r="D115" t="s">
        <v>16</v>
      </c>
      <c r="E115" t="s">
        <v>79</v>
      </c>
      <c r="F115" t="s">
        <v>13</v>
      </c>
      <c r="G115" s="2">
        <v>3.64</v>
      </c>
      <c r="H115" s="3">
        <f>IF(OR(NOT(ISNUMBER($C115)),NOT(ISNUMBER($G115))),"",$C115*$G115)</f>
        <v>3.64</v>
      </c>
      <c r="I115" t="s">
        <v>14</v>
      </c>
    </row>
    <row r="116" spans="1:9" x14ac:dyDescent="0.25">
      <c r="A116" t="s">
        <v>80</v>
      </c>
      <c r="B116" t="s">
        <v>23</v>
      </c>
      <c r="C116" s="1">
        <v>300</v>
      </c>
      <c r="D116" t="s">
        <v>11</v>
      </c>
      <c r="E116" t="s">
        <v>79</v>
      </c>
      <c r="F116" t="s">
        <v>13</v>
      </c>
      <c r="G116" s="2">
        <v>0.0015</v>
      </c>
      <c r="H116" s="3">
        <f>IF(OR(NOT(ISNUMBER($C116)),NOT(ISNUMBER($G116))),"",$C116*$G116)</f>
        <v>0.45</v>
      </c>
      <c r="I116" t="s">
        <v>14</v>
      </c>
    </row>
    <row r="117" spans="1:9" x14ac:dyDescent="0.25">
      <c r="A117" t="s">
        <v>80</v>
      </c>
      <c r="B117" t="s">
        <v>81</v>
      </c>
      <c r="C117" s="1">
        <v>150</v>
      </c>
      <c r="D117" t="s">
        <v>19</v>
      </c>
      <c r="E117" t="s">
        <v>79</v>
      </c>
      <c r="F117" t="s">
        <v>13</v>
      </c>
      <c r="G117" s="2">
        <v>0.145</v>
      </c>
      <c r="H117" s="3">
        <f>IF(OR(NOT(ISNUMBER($C117)),NOT(ISNUMBER($G117))),"",$C117*$G117)</f>
        <v>21.75</v>
      </c>
      <c r="I117" t="s">
        <v>14</v>
      </c>
    </row>
    <row r="118" spans="1:9" x14ac:dyDescent="0.25">
      <c r="A118" t="s">
        <v>80</v>
      </c>
      <c r="B118" t="s">
        <v>34</v>
      </c>
      <c r="C118" s="1">
        <v>15</v>
      </c>
      <c r="D118" t="s">
        <v>19</v>
      </c>
      <c r="E118" t="s">
        <v>79</v>
      </c>
      <c r="F118" t="s">
        <v>13</v>
      </c>
      <c r="G118" s="2">
        <v>0.146</v>
      </c>
      <c r="H118" s="3">
        <f>IF(OR(NOT(ISNUMBER($C118)),NOT(ISNUMBER($G118))),"",$C118*$G118)</f>
        <v>2.19</v>
      </c>
      <c r="I118" t="s">
        <v>14</v>
      </c>
    </row>
    <row r="119" spans="1:9" x14ac:dyDescent="0.25">
      <c r="A119" t="s">
        <v>80</v>
      </c>
      <c r="B119" t="s">
        <v>24</v>
      </c>
      <c r="C119" s="1">
        <v>1</v>
      </c>
      <c r="D119" t="s">
        <v>16</v>
      </c>
      <c r="E119" t="s">
        <v>79</v>
      </c>
      <c r="F119" t="s">
        <v>13</v>
      </c>
      <c r="G119" s="2">
        <v>1.6429</v>
      </c>
      <c r="H119" s="3">
        <f>IF(OR(NOT(ISNUMBER($C119)),NOT(ISNUMBER($G119))),"",$C119*$G119)</f>
        <v>1.6429</v>
      </c>
      <c r="I119" t="s">
        <v>14</v>
      </c>
    </row>
    <row r="120" spans="1:9" x14ac:dyDescent="0.25">
      <c r="A120" t="s">
        <v>82</v>
      </c>
      <c r="B120" t="s">
        <v>10</v>
      </c>
      <c r="C120" s="1">
        <v>17</v>
      </c>
      <c r="D120" t="s">
        <v>11</v>
      </c>
      <c r="E120" t="s">
        <v>77</v>
      </c>
      <c r="F120" t="s">
        <v>13</v>
      </c>
      <c r="G120" s="2">
        <v>1.1</v>
      </c>
      <c r="H120" s="3">
        <f>IF(OR(NOT(ISNUMBER($C120)),NOT(ISNUMBER($G120))),"",$C120*$G120)</f>
        <v>18.7</v>
      </c>
      <c r="I120" t="s">
        <v>14</v>
      </c>
    </row>
    <row r="121" spans="1:9" x14ac:dyDescent="0.25">
      <c r="A121" t="s">
        <v>82</v>
      </c>
      <c r="B121" t="s">
        <v>27</v>
      </c>
      <c r="C121" s="1">
        <v>200</v>
      </c>
      <c r="D121" t="s">
        <v>19</v>
      </c>
      <c r="E121" t="s">
        <v>77</v>
      </c>
      <c r="F121" t="s">
        <v>13</v>
      </c>
      <c r="G121" s="2">
        <v>0.09</v>
      </c>
      <c r="H121" s="3">
        <f>IF(OR(NOT(ISNUMBER($C121)),NOT(ISNUMBER($G121))),"",$C121*$G121)</f>
        <v>18</v>
      </c>
      <c r="I121" t="s">
        <v>14</v>
      </c>
    </row>
    <row r="122" spans="1:9" x14ac:dyDescent="0.25">
      <c r="A122" t="s">
        <v>82</v>
      </c>
      <c r="B122" t="s">
        <v>15</v>
      </c>
      <c r="C122" s="1">
        <v>1</v>
      </c>
      <c r="D122" t="s">
        <v>16</v>
      </c>
      <c r="E122" t="s">
        <v>77</v>
      </c>
      <c r="F122" t="s">
        <v>13</v>
      </c>
      <c r="G122" s="2">
        <v>5</v>
      </c>
      <c r="H122" s="3">
        <f>IF(OR(NOT(ISNUMBER($C122)),NOT(ISNUMBER($G122))),"",$C122*$G122)</f>
        <v>5</v>
      </c>
      <c r="I122" t="s">
        <v>14</v>
      </c>
    </row>
    <row r="123" spans="1:9" x14ac:dyDescent="0.25">
      <c r="A123" t="s">
        <v>82</v>
      </c>
      <c r="B123" t="s">
        <v>17</v>
      </c>
      <c r="C123" s="1">
        <v>1</v>
      </c>
      <c r="D123" t="s">
        <v>16</v>
      </c>
      <c r="E123" t="s">
        <v>77</v>
      </c>
      <c r="F123" t="s">
        <v>13</v>
      </c>
      <c r="G123" s="2">
        <v>1.6</v>
      </c>
      <c r="H123" s="3">
        <f>IF(OR(NOT(ISNUMBER($C123)),NOT(ISNUMBER($G123))),"",$C123*$G123)</f>
        <v>1.6</v>
      </c>
      <c r="I123" t="s">
        <v>14</v>
      </c>
    </row>
    <row r="124" spans="1:9" x14ac:dyDescent="0.25">
      <c r="A124" t="s">
        <v>83</v>
      </c>
      <c r="B124" t="s">
        <v>10</v>
      </c>
      <c r="C124" s="1">
        <v>17</v>
      </c>
      <c r="D124" t="s">
        <v>11</v>
      </c>
      <c r="E124" t="s">
        <v>79</v>
      </c>
      <c r="F124" t="s">
        <v>13</v>
      </c>
      <c r="G124" s="2">
        <v>1.1</v>
      </c>
      <c r="H124" s="3">
        <f>IF(OR(NOT(ISNUMBER($C124)),NOT(ISNUMBER($G124))),"",$C124*$G124)</f>
        <v>18.7</v>
      </c>
      <c r="I124" t="s">
        <v>14</v>
      </c>
    </row>
    <row r="125" spans="1:9" x14ac:dyDescent="0.25">
      <c r="A125" t="s">
        <v>83</v>
      </c>
      <c r="B125" t="s">
        <v>22</v>
      </c>
      <c r="C125" s="1">
        <v>1</v>
      </c>
      <c r="D125" t="s">
        <v>16</v>
      </c>
      <c r="E125" t="s">
        <v>79</v>
      </c>
      <c r="F125" t="s">
        <v>13</v>
      </c>
      <c r="G125" s="2">
        <v>3.64</v>
      </c>
      <c r="H125" s="3">
        <f>IF(OR(NOT(ISNUMBER($C125)),NOT(ISNUMBER($G125))),"",$C125*$G125)</f>
        <v>3.64</v>
      </c>
      <c r="I125" t="s">
        <v>14</v>
      </c>
    </row>
    <row r="126" spans="1:9" x14ac:dyDescent="0.25">
      <c r="A126" t="s">
        <v>83</v>
      </c>
      <c r="B126" t="s">
        <v>27</v>
      </c>
      <c r="C126" s="1">
        <v>150</v>
      </c>
      <c r="D126" t="s">
        <v>19</v>
      </c>
      <c r="E126" t="s">
        <v>79</v>
      </c>
      <c r="F126" t="s">
        <v>13</v>
      </c>
      <c r="G126" s="2">
        <v>0.09</v>
      </c>
      <c r="H126" s="3">
        <f>IF(OR(NOT(ISNUMBER($C126)),NOT(ISNUMBER($G126))),"",$C126*$G126)</f>
        <v>13.5</v>
      </c>
      <c r="I126" t="s">
        <v>14</v>
      </c>
    </row>
    <row r="127" spans="1:9" x14ac:dyDescent="0.25">
      <c r="A127" t="s">
        <v>83</v>
      </c>
      <c r="B127" t="s">
        <v>23</v>
      </c>
      <c r="C127" s="1">
        <v>300</v>
      </c>
      <c r="D127" t="s">
        <v>11</v>
      </c>
      <c r="E127" t="s">
        <v>79</v>
      </c>
      <c r="F127" t="s">
        <v>13</v>
      </c>
      <c r="G127" s="2">
        <v>0.0015</v>
      </c>
      <c r="H127" s="3">
        <f>IF(OR(NOT(ISNUMBER($C127)),NOT(ISNUMBER($G127))),"",$C127*$G127)</f>
        <v>0.45</v>
      </c>
      <c r="I127" t="s">
        <v>14</v>
      </c>
    </row>
    <row r="128" spans="1:9" x14ac:dyDescent="0.25">
      <c r="A128" t="s">
        <v>83</v>
      </c>
      <c r="B128" t="s">
        <v>24</v>
      </c>
      <c r="C128" s="1">
        <v>1</v>
      </c>
      <c r="D128" t="s">
        <v>16</v>
      </c>
      <c r="E128" t="s">
        <v>79</v>
      </c>
      <c r="F128" t="s">
        <v>13</v>
      </c>
      <c r="G128" s="2">
        <v>1.6429</v>
      </c>
      <c r="H128" s="3">
        <f>IF(OR(NOT(ISNUMBER($C128)),NOT(ISNUMBER($G128))),"",$C128*$G128)</f>
        <v>1.6429</v>
      </c>
      <c r="I128" t="s">
        <v>14</v>
      </c>
    </row>
    <row r="129" spans="1:9" x14ac:dyDescent="0.25">
      <c r="A129" t="s">
        <v>84</v>
      </c>
      <c r="B129" t="s">
        <v>85</v>
      </c>
      <c r="C129" s="1">
        <v>10</v>
      </c>
      <c r="D129" t="s">
        <v>19</v>
      </c>
      <c r="E129" t="s">
        <v>86</v>
      </c>
      <c r="F129" t="s">
        <v>13</v>
      </c>
      <c r="G129" s="2">
        <v>1.486</v>
      </c>
      <c r="H129" s="3">
        <f>IF(OR(NOT(ISNUMBER($C129)),NOT(ISNUMBER($G129))),"",$C129*$G129)</f>
        <v>14.86</v>
      </c>
      <c r="I129" t="s">
        <v>14</v>
      </c>
    </row>
    <row r="130" spans="1:9" x14ac:dyDescent="0.25">
      <c r="A130" t="s">
        <v>84</v>
      </c>
      <c r="B130" t="s">
        <v>10</v>
      </c>
      <c r="C130" s="1">
        <v>17</v>
      </c>
      <c r="D130" t="s">
        <v>11</v>
      </c>
      <c r="E130" t="s">
        <v>86</v>
      </c>
      <c r="F130" t="s">
        <v>13</v>
      </c>
      <c r="G130" s="2">
        <v>1.1</v>
      </c>
      <c r="H130" s="3">
        <f>IF(OR(NOT(ISNUMBER($C130)),NOT(ISNUMBER($G130))),"",$C130*$G130)</f>
        <v>18.7</v>
      </c>
      <c r="I130" t="s">
        <v>14</v>
      </c>
    </row>
    <row r="131" spans="1:9" x14ac:dyDescent="0.25">
      <c r="A131" t="s">
        <v>84</v>
      </c>
      <c r="B131" t="s">
        <v>15</v>
      </c>
      <c r="C131" s="1">
        <v>1</v>
      </c>
      <c r="D131" t="s">
        <v>16</v>
      </c>
      <c r="E131" t="s">
        <v>86</v>
      </c>
      <c r="F131" t="s">
        <v>13</v>
      </c>
      <c r="G131" s="2">
        <v>5</v>
      </c>
      <c r="H131" s="3">
        <f>IF(OR(NOT(ISNUMBER($C131)),NOT(ISNUMBER($G131))),"",$C131*$G131)</f>
        <v>5</v>
      </c>
      <c r="I131" t="s">
        <v>14</v>
      </c>
    </row>
    <row r="132" spans="1:9" x14ac:dyDescent="0.25">
      <c r="A132" t="s">
        <v>84</v>
      </c>
      <c r="B132" t="s">
        <v>17</v>
      </c>
      <c r="C132" s="1">
        <v>1</v>
      </c>
      <c r="D132" t="s">
        <v>16</v>
      </c>
      <c r="E132" t="s">
        <v>86</v>
      </c>
      <c r="F132" t="s">
        <v>13</v>
      </c>
      <c r="G132" s="2">
        <v>1.6</v>
      </c>
      <c r="H132" s="3">
        <f>IF(OR(NOT(ISNUMBER($C132)),NOT(ISNUMBER($G132))),"",$C132*$G132)</f>
        <v>1.6</v>
      </c>
      <c r="I132" t="s">
        <v>14</v>
      </c>
    </row>
    <row r="133" spans="1:9" x14ac:dyDescent="0.25">
      <c r="A133" t="s">
        <v>84</v>
      </c>
      <c r="B133" t="s">
        <v>81</v>
      </c>
      <c r="C133" s="1">
        <v>200</v>
      </c>
      <c r="D133" t="s">
        <v>19</v>
      </c>
      <c r="E133" t="s">
        <v>86</v>
      </c>
      <c r="F133" t="s">
        <v>13</v>
      </c>
      <c r="G133" s="2">
        <v>0.145</v>
      </c>
      <c r="H133" s="3">
        <f>IF(OR(NOT(ISNUMBER($C133)),NOT(ISNUMBER($G133))),"",$C133*$G133)</f>
        <v>29</v>
      </c>
      <c r="I133" t="s">
        <v>14</v>
      </c>
    </row>
    <row r="134" spans="1:9" x14ac:dyDescent="0.25">
      <c r="A134" t="s">
        <v>84</v>
      </c>
      <c r="B134" t="s">
        <v>87</v>
      </c>
      <c r="C134" s="1">
        <v>4</v>
      </c>
      <c r="D134" t="s">
        <v>11</v>
      </c>
      <c r="E134" t="s">
        <v>86</v>
      </c>
      <c r="F134" t="s">
        <v>13</v>
      </c>
      <c r="G134" s="2">
        <v>11.738</v>
      </c>
      <c r="H134" s="3">
        <f>IF(OR(NOT(ISNUMBER($C134)),NOT(ISNUMBER($G134))),"",$C134*$G134)</f>
        <v>46.952</v>
      </c>
      <c r="I134" t="s">
        <v>14</v>
      </c>
    </row>
    <row r="135" spans="1:9" x14ac:dyDescent="0.25">
      <c r="A135" t="s">
        <v>88</v>
      </c>
      <c r="B135" t="s">
        <v>85</v>
      </c>
      <c r="C135" s="1">
        <v>10</v>
      </c>
      <c r="D135" t="s">
        <v>19</v>
      </c>
      <c r="E135" t="s">
        <v>89</v>
      </c>
      <c r="F135" t="s">
        <v>13</v>
      </c>
      <c r="G135" s="2">
        <v>1.486</v>
      </c>
      <c r="H135" s="3">
        <f>IF(OR(NOT(ISNUMBER($C135)),NOT(ISNUMBER($G135))),"",$C135*$G135)</f>
        <v>14.86</v>
      </c>
      <c r="I135" t="s">
        <v>14</v>
      </c>
    </row>
    <row r="136" spans="1:9" x14ac:dyDescent="0.25">
      <c r="A136" t="s">
        <v>88</v>
      </c>
      <c r="B136" t="s">
        <v>90</v>
      </c>
      <c r="C136" s="1">
        <v>1</v>
      </c>
      <c r="D136" t="s">
        <v>16</v>
      </c>
      <c r="E136" t="s">
        <v>89</v>
      </c>
      <c r="F136" t="s">
        <v>13</v>
      </c>
      <c r="G136" s="2">
        <v>3.5</v>
      </c>
      <c r="H136" s="3">
        <f>IF(OR(NOT(ISNUMBER($C136)),NOT(ISNUMBER($G136))),"",$C136*$G136)</f>
        <v>3.5</v>
      </c>
      <c r="I136" t="s">
        <v>14</v>
      </c>
    </row>
    <row r="137" spans="1:9" x14ac:dyDescent="0.25">
      <c r="A137" t="s">
        <v>88</v>
      </c>
      <c r="B137" t="s">
        <v>23</v>
      </c>
      <c r="C137" s="1">
        <v>300</v>
      </c>
      <c r="D137" t="s">
        <v>11</v>
      </c>
      <c r="E137" t="s">
        <v>89</v>
      </c>
      <c r="F137" t="s">
        <v>13</v>
      </c>
      <c r="G137" s="2">
        <v>0.0015</v>
      </c>
      <c r="H137" s="3">
        <f>IF(OR(NOT(ISNUMBER($C137)),NOT(ISNUMBER($G137))),"",$C137*$G137)</f>
        <v>0.45</v>
      </c>
      <c r="I137" t="s">
        <v>14</v>
      </c>
    </row>
    <row r="138" spans="1:9" x14ac:dyDescent="0.25">
      <c r="A138" t="s">
        <v>88</v>
      </c>
      <c r="B138" t="s">
        <v>81</v>
      </c>
      <c r="C138" s="1">
        <v>150</v>
      </c>
      <c r="D138" t="s">
        <v>19</v>
      </c>
      <c r="E138" t="s">
        <v>89</v>
      </c>
      <c r="F138" t="s">
        <v>13</v>
      </c>
      <c r="G138" s="2">
        <v>0.145</v>
      </c>
      <c r="H138" s="3">
        <f>IF(OR(NOT(ISNUMBER($C138)),NOT(ISNUMBER($G138))),"",$C138*$G138)</f>
        <v>21.75</v>
      </c>
      <c r="I138" t="s">
        <v>14</v>
      </c>
    </row>
    <row r="139" spans="1:9" x14ac:dyDescent="0.25">
      <c r="A139" t="s">
        <v>88</v>
      </c>
      <c r="B139" t="s">
        <v>87</v>
      </c>
      <c r="C139" s="1">
        <v>4</v>
      </c>
      <c r="D139" t="s">
        <v>11</v>
      </c>
      <c r="E139" t="s">
        <v>89</v>
      </c>
      <c r="F139" t="s">
        <v>13</v>
      </c>
      <c r="G139" s="2">
        <v>11.738</v>
      </c>
      <c r="H139" s="3">
        <f>IF(OR(NOT(ISNUMBER($C139)),NOT(ISNUMBER($G139))),"",$C139*$G139)</f>
        <v>46.952</v>
      </c>
      <c r="I139" t="s">
        <v>14</v>
      </c>
    </row>
    <row r="140" spans="1:9" x14ac:dyDescent="0.25">
      <c r="A140" t="s">
        <v>88</v>
      </c>
      <c r="B140" t="s">
        <v>24</v>
      </c>
      <c r="C140" s="1">
        <v>1</v>
      </c>
      <c r="D140" t="s">
        <v>16</v>
      </c>
      <c r="E140" t="s">
        <v>89</v>
      </c>
      <c r="F140" t="s">
        <v>13</v>
      </c>
      <c r="G140" s="2">
        <v>1.6429</v>
      </c>
      <c r="H140" s="3">
        <f>IF(OR(NOT(ISNUMBER($C140)),NOT(ISNUMBER($G140))),"",$C140*$G140)</f>
        <v>1.6429</v>
      </c>
      <c r="I140" t="s">
        <v>14</v>
      </c>
    </row>
    <row r="141" spans="1:9" x14ac:dyDescent="0.25">
      <c r="A141" t="s">
        <v>91</v>
      </c>
      <c r="B141" t="s">
        <v>10</v>
      </c>
      <c r="C141" s="1">
        <v>17</v>
      </c>
      <c r="D141" t="s">
        <v>11</v>
      </c>
      <c r="E141" t="s">
        <v>12</v>
      </c>
      <c r="F141" t="s">
        <v>13</v>
      </c>
      <c r="G141" s="2">
        <v>1.1</v>
      </c>
      <c r="H141" s="3">
        <f>IF(OR(NOT(ISNUMBER($C141)),NOT(ISNUMBER($G141))),"",$C141*$G141)</f>
        <v>18.7</v>
      </c>
      <c r="I141" t="s">
        <v>14</v>
      </c>
    </row>
    <row r="142" spans="1:9" x14ac:dyDescent="0.25">
      <c r="A142" t="s">
        <v>91</v>
      </c>
      <c r="B142" t="s">
        <v>27</v>
      </c>
      <c r="C142" s="1">
        <v>200</v>
      </c>
      <c r="D142" t="s">
        <v>19</v>
      </c>
      <c r="E142" t="s">
        <v>12</v>
      </c>
      <c r="F142" t="s">
        <v>13</v>
      </c>
      <c r="G142" s="2">
        <v>0.09</v>
      </c>
      <c r="H142" s="3">
        <f>IF(OR(NOT(ISNUMBER($C142)),NOT(ISNUMBER($G142))),"",$C142*$G142)</f>
        <v>18</v>
      </c>
      <c r="I142" t="s">
        <v>14</v>
      </c>
    </row>
    <row r="143" spans="1:9" x14ac:dyDescent="0.25">
      <c r="A143" t="s">
        <v>91</v>
      </c>
      <c r="B143" t="s">
        <v>15</v>
      </c>
      <c r="C143" s="1">
        <v>1</v>
      </c>
      <c r="D143" t="s">
        <v>16</v>
      </c>
      <c r="E143" t="s">
        <v>12</v>
      </c>
      <c r="F143" t="s">
        <v>13</v>
      </c>
      <c r="G143" s="2">
        <v>5</v>
      </c>
      <c r="H143" s="3">
        <f>IF(OR(NOT(ISNUMBER($C143)),NOT(ISNUMBER($G143))),"",$C143*$G143)</f>
        <v>5</v>
      </c>
      <c r="I143" t="s">
        <v>14</v>
      </c>
    </row>
    <row r="144" spans="1:9" x14ac:dyDescent="0.25">
      <c r="A144" t="s">
        <v>91</v>
      </c>
      <c r="B144" t="s">
        <v>17</v>
      </c>
      <c r="C144" s="1">
        <v>1</v>
      </c>
      <c r="D144" t="s">
        <v>16</v>
      </c>
      <c r="E144" t="s">
        <v>12</v>
      </c>
      <c r="F144" t="s">
        <v>13</v>
      </c>
      <c r="G144" s="2">
        <v>1.6</v>
      </c>
      <c r="H144" s="3">
        <f>IF(OR(NOT(ISNUMBER($C144)),NOT(ISNUMBER($G144))),"",$C144*$G144)</f>
        <v>1.6</v>
      </c>
      <c r="I144" t="s">
        <v>14</v>
      </c>
    </row>
    <row r="145" spans="1:9" x14ac:dyDescent="0.25">
      <c r="A145" t="s">
        <v>92</v>
      </c>
      <c r="B145" t="s">
        <v>51</v>
      </c>
      <c r="C145" s="1">
        <v>2.4</v>
      </c>
      <c r="D145" t="s">
        <v>11</v>
      </c>
      <c r="E145" t="s">
        <v>52</v>
      </c>
      <c r="F145" t="s">
        <v>13</v>
      </c>
      <c r="G145" s="2"/>
      <c r="H145" s="3" t="str">
        <f>IF(OR(NOT(ISNUMBER($C145)),NOT(ISNUMBER($G145))),"",$C145*$G145)</f>
        <v/>
      </c>
      <c r="I145" t="s">
        <v>53</v>
      </c>
    </row>
    <row r="146" spans="1:9" x14ac:dyDescent="0.25">
      <c r="A146" t="s">
        <v>92</v>
      </c>
      <c r="B146" t="s">
        <v>93</v>
      </c>
      <c r="C146" s="1">
        <v>2.5</v>
      </c>
      <c r="D146" t="s">
        <v>11</v>
      </c>
      <c r="E146" t="s">
        <v>52</v>
      </c>
      <c r="F146" t="s">
        <v>13</v>
      </c>
      <c r="G146" s="2">
        <v>0.112</v>
      </c>
      <c r="H146" s="3">
        <f>IF(OR(NOT(ISNUMBER($C146)),NOT(ISNUMBER($G146))),"",$C146*$G146)</f>
        <v>0.28</v>
      </c>
      <c r="I146" t="s">
        <v>14</v>
      </c>
    </row>
    <row r="147" spans="1:9" x14ac:dyDescent="0.25">
      <c r="A147" t="s">
        <v>92</v>
      </c>
      <c r="B147" t="s">
        <v>94</v>
      </c>
      <c r="C147" s="1">
        <v>40</v>
      </c>
      <c r="D147" t="s">
        <v>19</v>
      </c>
      <c r="E147" t="s">
        <v>52</v>
      </c>
      <c r="F147" t="s">
        <v>13</v>
      </c>
      <c r="G147" s="2">
        <v>0.3395</v>
      </c>
      <c r="H147" s="3">
        <f>IF(OR(NOT(ISNUMBER($C147)),NOT(ISNUMBER($G147))),"",$C147*$G147)</f>
        <v>13.58</v>
      </c>
      <c r="I147" t="s">
        <v>14</v>
      </c>
    </row>
    <row r="148" spans="1:9" x14ac:dyDescent="0.25">
      <c r="A148" t="s">
        <v>92</v>
      </c>
      <c r="B148" t="s">
        <v>63</v>
      </c>
      <c r="C148" s="1">
        <v>38</v>
      </c>
      <c r="D148" t="s">
        <v>11</v>
      </c>
      <c r="E148" t="s">
        <v>52</v>
      </c>
      <c r="F148" t="s">
        <v>13</v>
      </c>
      <c r="G148" s="2">
        <v>0.09</v>
      </c>
      <c r="H148" s="3">
        <f>IF(OR(NOT(ISNUMBER($C148)),NOT(ISNUMBER($G148))),"",$C148*$G148)</f>
        <v>3.42</v>
      </c>
      <c r="I148" t="s">
        <v>14</v>
      </c>
    </row>
    <row r="149" spans="1:9" x14ac:dyDescent="0.25">
      <c r="A149" t="s">
        <v>95</v>
      </c>
      <c r="B149" t="s">
        <v>51</v>
      </c>
      <c r="C149" s="1">
        <v>10</v>
      </c>
      <c r="D149" t="s">
        <v>11</v>
      </c>
      <c r="E149" t="s">
        <v>52</v>
      </c>
      <c r="F149" t="s">
        <v>13</v>
      </c>
      <c r="G149" s="2"/>
      <c r="H149" s="3" t="str">
        <f>IF(OR(NOT(ISNUMBER($C149)),NOT(ISNUMBER($G149))),"",$C149*$G149)</f>
        <v/>
      </c>
      <c r="I149" t="s">
        <v>53</v>
      </c>
    </row>
    <row r="150" spans="1:9" x14ac:dyDescent="0.25">
      <c r="A150" t="s">
        <v>95</v>
      </c>
      <c r="B150" t="s">
        <v>93</v>
      </c>
      <c r="C150" s="1">
        <v>5</v>
      </c>
      <c r="D150" t="s">
        <v>11</v>
      </c>
      <c r="E150" t="s">
        <v>52</v>
      </c>
      <c r="F150" t="s">
        <v>13</v>
      </c>
      <c r="G150" s="2">
        <v>0.112</v>
      </c>
      <c r="H150" s="3">
        <f>IF(OR(NOT(ISNUMBER($C150)),NOT(ISNUMBER($G150))),"",$C150*$G150)</f>
        <v>0.56</v>
      </c>
      <c r="I150" t="s">
        <v>14</v>
      </c>
    </row>
    <row r="151" spans="1:9" x14ac:dyDescent="0.25">
      <c r="A151" t="s">
        <v>95</v>
      </c>
      <c r="B151" t="s">
        <v>58</v>
      </c>
      <c r="C151" s="1">
        <v>0.3</v>
      </c>
      <c r="D151" t="s">
        <v>11</v>
      </c>
      <c r="E151" t="s">
        <v>52</v>
      </c>
      <c r="F151" t="s">
        <v>13</v>
      </c>
      <c r="G151" s="2">
        <v>1.1667</v>
      </c>
      <c r="H151" s="3">
        <f>IF(OR(NOT(ISNUMBER($C151)),NOT(ISNUMBER($G151))),"",$C151*$G151)</f>
        <v>0.35</v>
      </c>
      <c r="I151" t="s">
        <v>14</v>
      </c>
    </row>
    <row r="152" spans="1:9" x14ac:dyDescent="0.25">
      <c r="A152" t="s">
        <v>95</v>
      </c>
      <c r="B152" t="s">
        <v>96</v>
      </c>
      <c r="C152" s="1">
        <v>8</v>
      </c>
      <c r="D152" t="s">
        <v>11</v>
      </c>
      <c r="E152" t="s">
        <v>52</v>
      </c>
      <c r="F152" t="s">
        <v>13</v>
      </c>
      <c r="G152" s="2"/>
      <c r="H152" s="3" t="str">
        <f>IF(OR(NOT(ISNUMBER($C152)),NOT(ISNUMBER($G152))),"",$C152*$G152)</f>
        <v/>
      </c>
      <c r="I152" t="s">
        <v>53</v>
      </c>
    </row>
    <row r="153" spans="1:9" x14ac:dyDescent="0.25">
      <c r="A153" t="s">
        <v>95</v>
      </c>
      <c r="B153" t="s">
        <v>97</v>
      </c>
      <c r="C153" s="1">
        <v>10</v>
      </c>
      <c r="D153" t="s">
        <v>11</v>
      </c>
      <c r="E153" t="s">
        <v>52</v>
      </c>
      <c r="F153" t="s">
        <v>13</v>
      </c>
      <c r="G153" s="2">
        <v>1.4185</v>
      </c>
      <c r="H153" s="3">
        <f>IF(OR(NOT(ISNUMBER($C153)),NOT(ISNUMBER($G153))),"",$C153*$G153)</f>
        <v>14.185</v>
      </c>
      <c r="I153" t="s">
        <v>14</v>
      </c>
    </row>
    <row r="154" spans="1:9" x14ac:dyDescent="0.25">
      <c r="A154" t="s">
        <v>95</v>
      </c>
      <c r="B154" t="s">
        <v>98</v>
      </c>
      <c r="C154" s="1">
        <v>0.5</v>
      </c>
      <c r="D154" t="s">
        <v>11</v>
      </c>
      <c r="E154" t="s">
        <v>52</v>
      </c>
      <c r="F154" t="s">
        <v>13</v>
      </c>
      <c r="G154" s="2"/>
      <c r="H154" s="3" t="str">
        <f>IF(OR(NOT(ISNUMBER($C154)),NOT(ISNUMBER($G154))),"",$C154*$G154)</f>
        <v/>
      </c>
      <c r="I154" t="s">
        <v>53</v>
      </c>
    </row>
    <row r="155" spans="1:9" x14ac:dyDescent="0.25">
      <c r="A155" t="s">
        <v>99</v>
      </c>
      <c r="B155" t="s">
        <v>22</v>
      </c>
      <c r="C155" s="1">
        <v>1</v>
      </c>
      <c r="D155" t="s">
        <v>16</v>
      </c>
      <c r="E155" t="s">
        <v>74</v>
      </c>
      <c r="F155" t="s">
        <v>13</v>
      </c>
      <c r="G155" s="2">
        <v>3.64</v>
      </c>
      <c r="H155" s="3">
        <f>IF(OR(NOT(ISNUMBER($C155)),NOT(ISNUMBER($G155))),"",$C155*$G155)</f>
        <v>3.64</v>
      </c>
      <c r="I155" t="s">
        <v>14</v>
      </c>
    </row>
    <row r="156" spans="1:9" x14ac:dyDescent="0.25">
      <c r="A156" t="s">
        <v>99</v>
      </c>
      <c r="B156" t="s">
        <v>68</v>
      </c>
      <c r="C156" s="1">
        <v>40</v>
      </c>
      <c r="D156" t="s">
        <v>19</v>
      </c>
      <c r="E156" t="s">
        <v>74</v>
      </c>
      <c r="F156" t="s">
        <v>13</v>
      </c>
      <c r="G156" s="2">
        <v>0.6085</v>
      </c>
      <c r="H156" s="3">
        <f>IF(OR(NOT(ISNUMBER($C156)),NOT(ISNUMBER($G156))),"",$C156*$G156)</f>
        <v>24.34</v>
      </c>
      <c r="I156" t="s">
        <v>14</v>
      </c>
    </row>
    <row r="157" spans="1:9" x14ac:dyDescent="0.25">
      <c r="A157" t="s">
        <v>99</v>
      </c>
      <c r="B157" t="s">
        <v>38</v>
      </c>
      <c r="C157" s="1">
        <v>1</v>
      </c>
      <c r="D157" t="s">
        <v>16</v>
      </c>
      <c r="E157" t="s">
        <v>74</v>
      </c>
      <c r="F157" t="s">
        <v>13</v>
      </c>
      <c r="G157" s="2">
        <v>1.86</v>
      </c>
      <c r="H157" s="3">
        <f>IF(OR(NOT(ISNUMBER($C157)),NOT(ISNUMBER($G157))),"",$C157*$G157)</f>
        <v>1.86</v>
      </c>
      <c r="I157" t="s">
        <v>14</v>
      </c>
    </row>
    <row r="158" spans="1:9" x14ac:dyDescent="0.25">
      <c r="A158" t="s">
        <v>99</v>
      </c>
      <c r="B158" t="s">
        <v>27</v>
      </c>
      <c r="C158" s="1">
        <v>100</v>
      </c>
      <c r="D158" t="s">
        <v>19</v>
      </c>
      <c r="E158" t="s">
        <v>74</v>
      </c>
      <c r="F158" t="s">
        <v>13</v>
      </c>
      <c r="G158" s="2">
        <v>0.09</v>
      </c>
      <c r="H158" s="3">
        <f>IF(OR(NOT(ISNUMBER($C158)),NOT(ISNUMBER($G158))),"",$C158*$G158)</f>
        <v>9</v>
      </c>
      <c r="I158" t="s">
        <v>14</v>
      </c>
    </row>
    <row r="159" spans="1:9" x14ac:dyDescent="0.25">
      <c r="A159" t="s">
        <v>99</v>
      </c>
      <c r="B159" t="s">
        <v>39</v>
      </c>
      <c r="C159" s="1">
        <v>30</v>
      </c>
      <c r="D159" t="s">
        <v>11</v>
      </c>
      <c r="E159" t="s">
        <v>74</v>
      </c>
      <c r="F159" t="s">
        <v>13</v>
      </c>
      <c r="G159" s="2">
        <v>0.7253</v>
      </c>
      <c r="H159" s="3">
        <f>IF(OR(NOT(ISNUMBER($C159)),NOT(ISNUMBER($G159))),"",$C159*$G159)</f>
        <v>21.759</v>
      </c>
      <c r="I159" t="s">
        <v>14</v>
      </c>
    </row>
    <row r="160" spans="1:9" x14ac:dyDescent="0.25">
      <c r="A160" t="s">
        <v>99</v>
      </c>
      <c r="B160" t="s">
        <v>100</v>
      </c>
      <c r="C160" s="1">
        <v>30</v>
      </c>
      <c r="D160" t="s">
        <v>19</v>
      </c>
      <c r="E160" t="s">
        <v>74</v>
      </c>
      <c r="F160" t="s">
        <v>13</v>
      </c>
      <c r="G160" s="2">
        <v>0.72</v>
      </c>
      <c r="H160" s="3">
        <f>IF(OR(NOT(ISNUMBER($C160)),NOT(ISNUMBER($G160))),"",$C160*$G160)</f>
        <v>21.6</v>
      </c>
      <c r="I160" t="s">
        <v>14</v>
      </c>
    </row>
    <row r="161" spans="1:9" x14ac:dyDescent="0.25">
      <c r="A161" t="s">
        <v>99</v>
      </c>
      <c r="B161" t="s">
        <v>23</v>
      </c>
      <c r="C161" s="1">
        <v>300</v>
      </c>
      <c r="D161" t="s">
        <v>11</v>
      </c>
      <c r="E161" t="s">
        <v>74</v>
      </c>
      <c r="F161" t="s">
        <v>13</v>
      </c>
      <c r="G161" s="2">
        <v>0.0015</v>
      </c>
      <c r="H161" s="3">
        <f>IF(OR(NOT(ISNUMBER($C161)),NOT(ISNUMBER($G161))),"",$C161*$G161)</f>
        <v>0.45</v>
      </c>
      <c r="I161" t="s">
        <v>14</v>
      </c>
    </row>
    <row r="162" spans="1:9" x14ac:dyDescent="0.25">
      <c r="A162" t="s">
        <v>99</v>
      </c>
      <c r="B162" t="s">
        <v>40</v>
      </c>
      <c r="C162" s="1">
        <v>15</v>
      </c>
      <c r="D162" t="s">
        <v>11</v>
      </c>
      <c r="E162" t="s">
        <v>74</v>
      </c>
      <c r="F162" t="s">
        <v>13</v>
      </c>
      <c r="G162" s="2">
        <v>0.27</v>
      </c>
      <c r="H162" s="3">
        <f>IF(OR(NOT(ISNUMBER($C162)),NOT(ISNUMBER($G162))),"",$C162*$G162)</f>
        <v>4.05</v>
      </c>
      <c r="I162" t="s">
        <v>14</v>
      </c>
    </row>
    <row r="163" spans="1:9" x14ac:dyDescent="0.25">
      <c r="A163" t="s">
        <v>101</v>
      </c>
      <c r="B163" t="s">
        <v>10</v>
      </c>
      <c r="C163" s="1">
        <v>17</v>
      </c>
      <c r="D163" t="s">
        <v>11</v>
      </c>
      <c r="E163" t="s">
        <v>67</v>
      </c>
      <c r="F163" t="s">
        <v>13</v>
      </c>
      <c r="G163" s="2">
        <v>1.1</v>
      </c>
      <c r="H163" s="3">
        <f>IF(OR(NOT(ISNUMBER($C163)),NOT(ISNUMBER($G163))),"",$C163*$G163)</f>
        <v>18.7</v>
      </c>
      <c r="I163" t="s">
        <v>14</v>
      </c>
    </row>
    <row r="164" spans="1:9" x14ac:dyDescent="0.25">
      <c r="A164" t="s">
        <v>101</v>
      </c>
      <c r="B164" t="s">
        <v>27</v>
      </c>
      <c r="C164" s="1">
        <v>200</v>
      </c>
      <c r="D164" t="s">
        <v>19</v>
      </c>
      <c r="E164" t="s">
        <v>67</v>
      </c>
      <c r="F164" t="s">
        <v>13</v>
      </c>
      <c r="G164" s="2">
        <v>0.09</v>
      </c>
      <c r="H164" s="3">
        <f>IF(OR(NOT(ISNUMBER($C164)),NOT(ISNUMBER($G164))),"",$C164*$G164)</f>
        <v>18</v>
      </c>
      <c r="I164" t="s">
        <v>14</v>
      </c>
    </row>
    <row r="165" spans="1:9" x14ac:dyDescent="0.25">
      <c r="A165" t="s">
        <v>101</v>
      </c>
      <c r="B165" t="s">
        <v>100</v>
      </c>
      <c r="C165" s="1">
        <v>30</v>
      </c>
      <c r="D165" t="s">
        <v>19</v>
      </c>
      <c r="E165" t="s">
        <v>67</v>
      </c>
      <c r="F165" t="s">
        <v>13</v>
      </c>
      <c r="G165" s="2">
        <v>0.72</v>
      </c>
      <c r="H165" s="3">
        <f>IF(OR(NOT(ISNUMBER($C165)),NOT(ISNUMBER($G165))),"",$C165*$G165)</f>
        <v>21.6</v>
      </c>
      <c r="I165" t="s">
        <v>14</v>
      </c>
    </row>
    <row r="166" spans="1:9" x14ac:dyDescent="0.25">
      <c r="A166" t="s">
        <v>101</v>
      </c>
      <c r="B166" t="s">
        <v>15</v>
      </c>
      <c r="C166" s="1">
        <v>1</v>
      </c>
      <c r="D166" t="s">
        <v>16</v>
      </c>
      <c r="E166" t="s">
        <v>67</v>
      </c>
      <c r="F166" t="s">
        <v>13</v>
      </c>
      <c r="G166" s="2">
        <v>5</v>
      </c>
      <c r="H166" s="3">
        <f>IF(OR(NOT(ISNUMBER($C166)),NOT(ISNUMBER($G166))),"",$C166*$G166)</f>
        <v>5</v>
      </c>
      <c r="I166" t="s">
        <v>14</v>
      </c>
    </row>
    <row r="167" spans="1:9" x14ac:dyDescent="0.25">
      <c r="A167" t="s">
        <v>101</v>
      </c>
      <c r="B167" t="s">
        <v>17</v>
      </c>
      <c r="C167" s="1">
        <v>1</v>
      </c>
      <c r="D167" t="s">
        <v>16</v>
      </c>
      <c r="E167" t="s">
        <v>67</v>
      </c>
      <c r="F167" t="s">
        <v>13</v>
      </c>
      <c r="G167" s="2">
        <v>1.6</v>
      </c>
      <c r="H167" s="3">
        <f>IF(OR(NOT(ISNUMBER($C167)),NOT(ISNUMBER($G167))),"",$C167*$G167)</f>
        <v>1.6</v>
      </c>
      <c r="I167" t="s">
        <v>14</v>
      </c>
    </row>
    <row r="168" spans="1:9" x14ac:dyDescent="0.25">
      <c r="A168" t="s">
        <v>101</v>
      </c>
      <c r="B168" t="s">
        <v>29</v>
      </c>
      <c r="C168" s="1">
        <v>30</v>
      </c>
      <c r="D168" t="s">
        <v>19</v>
      </c>
      <c r="E168" t="s">
        <v>67</v>
      </c>
      <c r="F168" t="s">
        <v>13</v>
      </c>
      <c r="G168" s="2">
        <v>0.0806</v>
      </c>
      <c r="H168" s="3">
        <f>IF(OR(NOT(ISNUMBER($C168)),NOT(ISNUMBER($G168))),"",$C168*$G168)</f>
        <v>2.418</v>
      </c>
      <c r="I168" t="s">
        <v>14</v>
      </c>
    </row>
    <row r="169" spans="1:9" x14ac:dyDescent="0.25">
      <c r="A169" t="s">
        <v>102</v>
      </c>
      <c r="B169" t="s">
        <v>10</v>
      </c>
      <c r="C169" s="1">
        <v>17</v>
      </c>
      <c r="D169" t="s">
        <v>11</v>
      </c>
      <c r="E169" t="s">
        <v>70</v>
      </c>
      <c r="F169" t="s">
        <v>13</v>
      </c>
      <c r="G169" s="2">
        <v>1.1</v>
      </c>
      <c r="H169" s="3">
        <f>IF(OR(NOT(ISNUMBER($C169)),NOT(ISNUMBER($G169))),"",$C169*$G169)</f>
        <v>18.7</v>
      </c>
      <c r="I169" t="s">
        <v>14</v>
      </c>
    </row>
    <row r="170" spans="1:9" x14ac:dyDescent="0.25">
      <c r="A170" t="s">
        <v>102</v>
      </c>
      <c r="B170" t="s">
        <v>22</v>
      </c>
      <c r="C170" s="1">
        <v>1</v>
      </c>
      <c r="D170" t="s">
        <v>16</v>
      </c>
      <c r="E170" t="s">
        <v>70</v>
      </c>
      <c r="F170" t="s">
        <v>13</v>
      </c>
      <c r="G170" s="2">
        <v>3.64</v>
      </c>
      <c r="H170" s="3">
        <f>IF(OR(NOT(ISNUMBER($C170)),NOT(ISNUMBER($G170))),"",$C170*$G170)</f>
        <v>3.64</v>
      </c>
      <c r="I170" t="s">
        <v>14</v>
      </c>
    </row>
    <row r="171" spans="1:9" x14ac:dyDescent="0.25">
      <c r="A171" t="s">
        <v>102</v>
      </c>
      <c r="B171" t="s">
        <v>27</v>
      </c>
      <c r="C171" s="1">
        <v>150</v>
      </c>
      <c r="D171" t="s">
        <v>19</v>
      </c>
      <c r="E171" t="s">
        <v>70</v>
      </c>
      <c r="F171" t="s">
        <v>13</v>
      </c>
      <c r="G171" s="2">
        <v>0.09</v>
      </c>
      <c r="H171" s="3">
        <f>IF(OR(NOT(ISNUMBER($C171)),NOT(ISNUMBER($G171))),"",$C171*$G171)</f>
        <v>13.5</v>
      </c>
      <c r="I171" t="s">
        <v>14</v>
      </c>
    </row>
    <row r="172" spans="1:9" x14ac:dyDescent="0.25">
      <c r="A172" t="s">
        <v>102</v>
      </c>
      <c r="B172" t="s">
        <v>100</v>
      </c>
      <c r="C172" s="1">
        <v>30</v>
      </c>
      <c r="D172" t="s">
        <v>19</v>
      </c>
      <c r="E172" t="s">
        <v>70</v>
      </c>
      <c r="F172" t="s">
        <v>13</v>
      </c>
      <c r="G172" s="2">
        <v>0.72</v>
      </c>
      <c r="H172" s="3">
        <f>IF(OR(NOT(ISNUMBER($C172)),NOT(ISNUMBER($G172))),"",$C172*$G172)</f>
        <v>21.6</v>
      </c>
      <c r="I172" t="s">
        <v>14</v>
      </c>
    </row>
    <row r="173" spans="1:9" x14ac:dyDescent="0.25">
      <c r="A173" t="s">
        <v>102</v>
      </c>
      <c r="B173" t="s">
        <v>23</v>
      </c>
      <c r="C173" s="1">
        <v>300</v>
      </c>
      <c r="D173" t="s">
        <v>11</v>
      </c>
      <c r="E173" t="s">
        <v>70</v>
      </c>
      <c r="F173" t="s">
        <v>13</v>
      </c>
      <c r="G173" s="2">
        <v>0.0015</v>
      </c>
      <c r="H173" s="3">
        <f>IF(OR(NOT(ISNUMBER($C173)),NOT(ISNUMBER($G173))),"",$C173*$G173)</f>
        <v>0.45</v>
      </c>
      <c r="I173" t="s">
        <v>14</v>
      </c>
    </row>
    <row r="174" spans="1:9" x14ac:dyDescent="0.25">
      <c r="A174" t="s">
        <v>102</v>
      </c>
      <c r="B174" t="s">
        <v>24</v>
      </c>
      <c r="C174" s="1">
        <v>1</v>
      </c>
      <c r="D174" t="s">
        <v>16</v>
      </c>
      <c r="E174" t="s">
        <v>70</v>
      </c>
      <c r="F174" t="s">
        <v>13</v>
      </c>
      <c r="G174" s="2">
        <v>1.6429</v>
      </c>
      <c r="H174" s="3">
        <f>IF(OR(NOT(ISNUMBER($C174)),NOT(ISNUMBER($G174))),"",$C174*$G174)</f>
        <v>1.6429</v>
      </c>
      <c r="I174" t="s">
        <v>14</v>
      </c>
    </row>
    <row r="175" spans="1:9" x14ac:dyDescent="0.25">
      <c r="A175" t="s">
        <v>102</v>
      </c>
      <c r="B175" t="s">
        <v>29</v>
      </c>
      <c r="C175" s="1">
        <v>30</v>
      </c>
      <c r="D175" t="s">
        <v>19</v>
      </c>
      <c r="E175" t="s">
        <v>70</v>
      </c>
      <c r="F175" t="s">
        <v>13</v>
      </c>
      <c r="G175" s="2">
        <v>0.0806</v>
      </c>
      <c r="H175" s="3">
        <f>IF(OR(NOT(ISNUMBER($C175)),NOT(ISNUMBER($G175))),"",$C175*$G175)</f>
        <v>2.418</v>
      </c>
      <c r="I175" t="s">
        <v>14</v>
      </c>
    </row>
    <row r="176" spans="1:9" x14ac:dyDescent="0.25">
      <c r="A176" t="s">
        <v>103</v>
      </c>
      <c r="B176" t="s">
        <v>10</v>
      </c>
      <c r="C176" s="1">
        <v>17</v>
      </c>
      <c r="D176" t="s">
        <v>11</v>
      </c>
      <c r="E176" t="s">
        <v>67</v>
      </c>
      <c r="F176" t="s">
        <v>13</v>
      </c>
      <c r="G176" s="2">
        <v>1.1</v>
      </c>
      <c r="H176" s="3">
        <f>IF(OR(NOT(ISNUMBER($C176)),NOT(ISNUMBER($G176))),"",$C176*$G176)</f>
        <v>18.7</v>
      </c>
      <c r="I176" t="s">
        <v>14</v>
      </c>
    </row>
    <row r="177" spans="1:9" x14ac:dyDescent="0.25">
      <c r="A177" t="s">
        <v>103</v>
      </c>
      <c r="B177" t="s">
        <v>68</v>
      </c>
      <c r="C177" s="1">
        <v>30</v>
      </c>
      <c r="D177" t="s">
        <v>19</v>
      </c>
      <c r="E177" t="s">
        <v>67</v>
      </c>
      <c r="F177" t="s">
        <v>13</v>
      </c>
      <c r="G177" s="2">
        <v>0.6085</v>
      </c>
      <c r="H177" s="3">
        <f>IF(OR(NOT(ISNUMBER($C177)),NOT(ISNUMBER($G177))),"",$C177*$G177)</f>
        <v>18.255</v>
      </c>
      <c r="I177" t="s">
        <v>14</v>
      </c>
    </row>
    <row r="178" spans="1:9" x14ac:dyDescent="0.25">
      <c r="A178" t="s">
        <v>103</v>
      </c>
      <c r="B178" t="s">
        <v>27</v>
      </c>
      <c r="C178" s="1">
        <v>200</v>
      </c>
      <c r="D178" t="s">
        <v>19</v>
      </c>
      <c r="E178" t="s">
        <v>67</v>
      </c>
      <c r="F178" t="s">
        <v>13</v>
      </c>
      <c r="G178" s="2">
        <v>0.09</v>
      </c>
      <c r="H178" s="3">
        <f>IF(OR(NOT(ISNUMBER($C178)),NOT(ISNUMBER($G178))),"",$C178*$G178)</f>
        <v>18</v>
      </c>
      <c r="I178" t="s">
        <v>14</v>
      </c>
    </row>
    <row r="179" spans="1:9" x14ac:dyDescent="0.25">
      <c r="A179" t="s">
        <v>103</v>
      </c>
      <c r="B179" t="s">
        <v>100</v>
      </c>
      <c r="C179" s="1">
        <v>30</v>
      </c>
      <c r="D179" t="s">
        <v>19</v>
      </c>
      <c r="E179" t="s">
        <v>67</v>
      </c>
      <c r="F179" t="s">
        <v>13</v>
      </c>
      <c r="G179" s="2">
        <v>0.72</v>
      </c>
      <c r="H179" s="3">
        <f>IF(OR(NOT(ISNUMBER($C179)),NOT(ISNUMBER($G179))),"",$C179*$G179)</f>
        <v>21.6</v>
      </c>
      <c r="I179" t="s">
        <v>14</v>
      </c>
    </row>
    <row r="180" spans="1:9" x14ac:dyDescent="0.25">
      <c r="A180" t="s">
        <v>103</v>
      </c>
      <c r="B180" t="s">
        <v>15</v>
      </c>
      <c r="C180" s="1">
        <v>1</v>
      </c>
      <c r="D180" t="s">
        <v>16</v>
      </c>
      <c r="E180" t="s">
        <v>67</v>
      </c>
      <c r="F180" t="s">
        <v>13</v>
      </c>
      <c r="G180" s="2">
        <v>5</v>
      </c>
      <c r="H180" s="3">
        <f>IF(OR(NOT(ISNUMBER($C180)),NOT(ISNUMBER($G180))),"",$C180*$G180)</f>
        <v>5</v>
      </c>
      <c r="I180" t="s">
        <v>14</v>
      </c>
    </row>
    <row r="181" spans="1:9" x14ac:dyDescent="0.25">
      <c r="A181" t="s">
        <v>103</v>
      </c>
      <c r="B181" t="s">
        <v>17</v>
      </c>
      <c r="C181" s="1">
        <v>1</v>
      </c>
      <c r="D181" t="s">
        <v>16</v>
      </c>
      <c r="E181" t="s">
        <v>67</v>
      </c>
      <c r="F181" t="s">
        <v>13</v>
      </c>
      <c r="G181" s="2">
        <v>1.6</v>
      </c>
      <c r="H181" s="3">
        <f>IF(OR(NOT(ISNUMBER($C181)),NOT(ISNUMBER($G181))),"",$C181*$G181)</f>
        <v>1.6</v>
      </c>
      <c r="I181" t="s">
        <v>14</v>
      </c>
    </row>
    <row r="182" spans="1:9" x14ac:dyDescent="0.25">
      <c r="A182" t="s">
        <v>104</v>
      </c>
      <c r="B182" t="s">
        <v>10</v>
      </c>
      <c r="C182" s="1">
        <v>17</v>
      </c>
      <c r="D182" t="s">
        <v>11</v>
      </c>
      <c r="E182" t="s">
        <v>70</v>
      </c>
      <c r="F182" t="s">
        <v>13</v>
      </c>
      <c r="G182" s="2">
        <v>1.1</v>
      </c>
      <c r="H182" s="3">
        <f>IF(OR(NOT(ISNUMBER($C182)),NOT(ISNUMBER($G182))),"",$C182*$G182)</f>
        <v>18.7</v>
      </c>
      <c r="I182" t="s">
        <v>14</v>
      </c>
    </row>
    <row r="183" spans="1:9" x14ac:dyDescent="0.25">
      <c r="A183" t="s">
        <v>104</v>
      </c>
      <c r="B183" t="s">
        <v>22</v>
      </c>
      <c r="C183" s="1">
        <v>1</v>
      </c>
      <c r="D183" t="s">
        <v>16</v>
      </c>
      <c r="E183" t="s">
        <v>70</v>
      </c>
      <c r="F183" t="s">
        <v>13</v>
      </c>
      <c r="G183" s="2">
        <v>3.64</v>
      </c>
      <c r="H183" s="3">
        <f>IF(OR(NOT(ISNUMBER($C183)),NOT(ISNUMBER($G183))),"",$C183*$G183)</f>
        <v>3.64</v>
      </c>
      <c r="I183" t="s">
        <v>14</v>
      </c>
    </row>
    <row r="184" spans="1:9" x14ac:dyDescent="0.25">
      <c r="A184" t="s">
        <v>104</v>
      </c>
      <c r="B184" t="s">
        <v>68</v>
      </c>
      <c r="C184" s="1">
        <v>30</v>
      </c>
      <c r="D184" t="s">
        <v>19</v>
      </c>
      <c r="E184" t="s">
        <v>70</v>
      </c>
      <c r="F184" t="s">
        <v>13</v>
      </c>
      <c r="G184" s="2">
        <v>0.6085</v>
      </c>
      <c r="H184" s="3">
        <f>IF(OR(NOT(ISNUMBER($C184)),NOT(ISNUMBER($G184))),"",$C184*$G184)</f>
        <v>18.255</v>
      </c>
      <c r="I184" t="s">
        <v>14</v>
      </c>
    </row>
    <row r="185" spans="1:9" x14ac:dyDescent="0.25">
      <c r="A185" t="s">
        <v>104</v>
      </c>
      <c r="B185" t="s">
        <v>27</v>
      </c>
      <c r="C185" s="1">
        <v>150</v>
      </c>
      <c r="D185" t="s">
        <v>19</v>
      </c>
      <c r="E185" t="s">
        <v>70</v>
      </c>
      <c r="F185" t="s">
        <v>13</v>
      </c>
      <c r="G185" s="2">
        <v>0.09</v>
      </c>
      <c r="H185" s="3">
        <f>IF(OR(NOT(ISNUMBER($C185)),NOT(ISNUMBER($G185))),"",$C185*$G185)</f>
        <v>13.5</v>
      </c>
      <c r="I185" t="s">
        <v>14</v>
      </c>
    </row>
    <row r="186" spans="1:9" x14ac:dyDescent="0.25">
      <c r="A186" t="s">
        <v>104</v>
      </c>
      <c r="B186" t="s">
        <v>100</v>
      </c>
      <c r="C186" s="1">
        <v>30</v>
      </c>
      <c r="D186" t="s">
        <v>19</v>
      </c>
      <c r="E186" t="s">
        <v>70</v>
      </c>
      <c r="F186" t="s">
        <v>13</v>
      </c>
      <c r="G186" s="2">
        <v>0.72</v>
      </c>
      <c r="H186" s="3">
        <f>IF(OR(NOT(ISNUMBER($C186)),NOT(ISNUMBER($G186))),"",$C186*$G186)</f>
        <v>21.6</v>
      </c>
      <c r="I186" t="s">
        <v>14</v>
      </c>
    </row>
    <row r="187" spans="1:9" x14ac:dyDescent="0.25">
      <c r="A187" t="s">
        <v>104</v>
      </c>
      <c r="B187" t="s">
        <v>23</v>
      </c>
      <c r="C187" s="1">
        <v>300</v>
      </c>
      <c r="D187" t="s">
        <v>11</v>
      </c>
      <c r="E187" t="s">
        <v>70</v>
      </c>
      <c r="F187" t="s">
        <v>13</v>
      </c>
      <c r="G187" s="2">
        <v>0.0015</v>
      </c>
      <c r="H187" s="3">
        <f>IF(OR(NOT(ISNUMBER($C187)),NOT(ISNUMBER($G187))),"",$C187*$G187)</f>
        <v>0.45</v>
      </c>
      <c r="I187" t="s">
        <v>14</v>
      </c>
    </row>
    <row r="188" spans="1:9" x14ac:dyDescent="0.25">
      <c r="A188" t="s">
        <v>104</v>
      </c>
      <c r="B188" t="s">
        <v>24</v>
      </c>
      <c r="C188" s="1">
        <v>1</v>
      </c>
      <c r="D188" t="s">
        <v>16</v>
      </c>
      <c r="E188" t="s">
        <v>70</v>
      </c>
      <c r="F188" t="s">
        <v>13</v>
      </c>
      <c r="G188" s="2">
        <v>1.6429</v>
      </c>
      <c r="H188" s="3">
        <f>IF(OR(NOT(ISNUMBER($C188)),NOT(ISNUMBER($G188))),"",$C188*$G188)</f>
        <v>1.6429</v>
      </c>
      <c r="I188" t="s">
        <v>14</v>
      </c>
    </row>
    <row r="189" spans="1:9" x14ac:dyDescent="0.25">
      <c r="A189" t="s">
        <v>105</v>
      </c>
      <c r="B189" t="s">
        <v>106</v>
      </c>
      <c r="C189" s="1">
        <v>7</v>
      </c>
      <c r="D189" t="s">
        <v>11</v>
      </c>
      <c r="E189" t="s">
        <v>52</v>
      </c>
      <c r="F189" t="s">
        <v>13</v>
      </c>
      <c r="G189" s="2"/>
      <c r="H189" s="3" t="str">
        <f>IF(OR(NOT(ISNUMBER($C189)),NOT(ISNUMBER($G189))),"",$C189*$G189)</f>
        <v/>
      </c>
      <c r="I189" t="s">
        <v>53</v>
      </c>
    </row>
    <row r="190" spans="1:9" x14ac:dyDescent="0.25">
      <c r="A190" t="s">
        <v>105</v>
      </c>
      <c r="B190" t="s">
        <v>51</v>
      </c>
      <c r="C190" s="1">
        <v>15</v>
      </c>
      <c r="D190" t="s">
        <v>11</v>
      </c>
      <c r="E190" t="s">
        <v>52</v>
      </c>
      <c r="F190" t="s">
        <v>13</v>
      </c>
      <c r="G190" s="2"/>
      <c r="H190" s="3" t="str">
        <f>IF(OR(NOT(ISNUMBER($C190)),NOT(ISNUMBER($G190))),"",$C190*$G190)</f>
        <v/>
      </c>
      <c r="I190" t="s">
        <v>53</v>
      </c>
    </row>
    <row r="191" spans="1:9" x14ac:dyDescent="0.25">
      <c r="A191" t="s">
        <v>105</v>
      </c>
      <c r="B191" t="s">
        <v>55</v>
      </c>
      <c r="C191" s="1">
        <v>2</v>
      </c>
      <c r="D191" t="s">
        <v>16</v>
      </c>
      <c r="E191" t="s">
        <v>52</v>
      </c>
      <c r="F191" t="s">
        <v>13</v>
      </c>
      <c r="G191" s="2">
        <v>11.0126</v>
      </c>
      <c r="H191" s="3">
        <f>IF(OR(NOT(ISNUMBER($C191)),NOT(ISNUMBER($G191))),"",$C191*$G191)</f>
        <v>22.0252</v>
      </c>
      <c r="I191" t="s">
        <v>14</v>
      </c>
    </row>
    <row r="192" spans="1:9" x14ac:dyDescent="0.25">
      <c r="A192" t="s">
        <v>105</v>
      </c>
      <c r="B192" t="s">
        <v>107</v>
      </c>
      <c r="C192" s="1">
        <v>0.2</v>
      </c>
      <c r="D192" t="s">
        <v>11</v>
      </c>
      <c r="E192" t="s">
        <v>52</v>
      </c>
      <c r="F192" t="s">
        <v>13</v>
      </c>
      <c r="G192" s="2"/>
      <c r="H192" s="3" t="str">
        <f>IF(OR(NOT(ISNUMBER($C192)),NOT(ISNUMBER($G192))),"",$C192*$G192)</f>
        <v/>
      </c>
      <c r="I192" t="s">
        <v>53</v>
      </c>
    </row>
    <row r="193" spans="1:9" x14ac:dyDescent="0.25">
      <c r="A193" t="s">
        <v>105</v>
      </c>
      <c r="B193" t="s">
        <v>108</v>
      </c>
      <c r="C193" s="1">
        <v>0.1</v>
      </c>
      <c r="D193" t="s">
        <v>11</v>
      </c>
      <c r="E193" t="s">
        <v>52</v>
      </c>
      <c r="F193" t="s">
        <v>13</v>
      </c>
      <c r="G193" s="2"/>
      <c r="H193" s="3" t="str">
        <f>IF(OR(NOT(ISNUMBER($C193)),NOT(ISNUMBER($G193))),"",$C193*$G193)</f>
        <v/>
      </c>
      <c r="I193" t="s">
        <v>53</v>
      </c>
    </row>
    <row r="194" spans="1:9" x14ac:dyDescent="0.25">
      <c r="A194" t="s">
        <v>105</v>
      </c>
      <c r="B194" t="s">
        <v>57</v>
      </c>
      <c r="C194" s="1">
        <v>10</v>
      </c>
      <c r="D194" t="s">
        <v>11</v>
      </c>
      <c r="E194" t="s">
        <v>52</v>
      </c>
      <c r="F194" t="s">
        <v>13</v>
      </c>
      <c r="G194" s="2"/>
      <c r="H194" s="3" t="str">
        <f>IF(OR(NOT(ISNUMBER($C194)),NOT(ISNUMBER($G194))),"",$C194*$G194)</f>
        <v/>
      </c>
      <c r="I194" t="s">
        <v>53</v>
      </c>
    </row>
    <row r="195" spans="1:9" x14ac:dyDescent="0.25">
      <c r="A195" t="s">
        <v>105</v>
      </c>
      <c r="B195" t="s">
        <v>109</v>
      </c>
      <c r="C195" s="1">
        <v>20</v>
      </c>
      <c r="D195" t="s">
        <v>11</v>
      </c>
      <c r="E195" t="s">
        <v>52</v>
      </c>
      <c r="F195" t="s">
        <v>13</v>
      </c>
      <c r="G195" s="2">
        <v>1.6427</v>
      </c>
      <c r="H195" s="3">
        <f>IF(OR(NOT(ISNUMBER($C195)),NOT(ISNUMBER($G195))),"",$C195*$G195)</f>
        <v>32.854</v>
      </c>
      <c r="I195" t="s">
        <v>14</v>
      </c>
    </row>
    <row r="196" spans="1:9" x14ac:dyDescent="0.25">
      <c r="A196" t="s">
        <v>105</v>
      </c>
      <c r="B196" t="s">
        <v>96</v>
      </c>
      <c r="C196" s="1">
        <v>30</v>
      </c>
      <c r="D196" t="s">
        <v>11</v>
      </c>
      <c r="E196" t="s">
        <v>52</v>
      </c>
      <c r="F196" t="s">
        <v>13</v>
      </c>
      <c r="G196" s="2"/>
      <c r="H196" s="3" t="str">
        <f>IF(OR(NOT(ISNUMBER($C196)),NOT(ISNUMBER($G196))),"",$C196*$G196)</f>
        <v/>
      </c>
      <c r="I196" t="s">
        <v>53</v>
      </c>
    </row>
    <row r="197" spans="1:9" x14ac:dyDescent="0.25">
      <c r="A197" t="s">
        <v>105</v>
      </c>
      <c r="B197" t="s">
        <v>98</v>
      </c>
      <c r="C197" s="1">
        <v>0.5</v>
      </c>
      <c r="D197" t="s">
        <v>11</v>
      </c>
      <c r="E197" t="s">
        <v>52</v>
      </c>
      <c r="F197" t="s">
        <v>13</v>
      </c>
      <c r="G197" s="2"/>
      <c r="H197" s="3" t="str">
        <f>IF(OR(NOT(ISNUMBER($C197)),NOT(ISNUMBER($G197))),"",$C197*$G197)</f>
        <v/>
      </c>
      <c r="I197" t="s">
        <v>53</v>
      </c>
    </row>
    <row r="198" spans="1:9" x14ac:dyDescent="0.25">
      <c r="A198" t="s">
        <v>105</v>
      </c>
      <c r="B198" t="s">
        <v>110</v>
      </c>
      <c r="C198" s="1">
        <v>0.2</v>
      </c>
      <c r="D198" t="s">
        <v>11</v>
      </c>
      <c r="E198" t="s">
        <v>52</v>
      </c>
      <c r="F198" t="s">
        <v>13</v>
      </c>
      <c r="G198" s="2"/>
      <c r="H198" s="3" t="str">
        <f>IF(OR(NOT(ISNUMBER($C198)),NOT(ISNUMBER($G198))),"",$C198*$G198)</f>
        <v/>
      </c>
      <c r="I198" t="s">
        <v>53</v>
      </c>
    </row>
    <row r="199" spans="1:9" x14ac:dyDescent="0.25">
      <c r="A199" t="s">
        <v>105</v>
      </c>
      <c r="B199" t="s">
        <v>60</v>
      </c>
      <c r="C199" s="1">
        <v>0.2</v>
      </c>
      <c r="D199" t="s">
        <v>11</v>
      </c>
      <c r="E199" t="s">
        <v>52</v>
      </c>
      <c r="F199" t="s">
        <v>13</v>
      </c>
      <c r="G199" s="2"/>
      <c r="H199" s="3" t="str">
        <f>IF(OR(NOT(ISNUMBER($C199)),NOT(ISNUMBER($G199))),"",$C199*$G199)</f>
        <v/>
      </c>
      <c r="I199" t="s">
        <v>53</v>
      </c>
    </row>
    <row r="200" spans="1:9" x14ac:dyDescent="0.25">
      <c r="A200" t="s">
        <v>105</v>
      </c>
      <c r="B200" t="s">
        <v>111</v>
      </c>
      <c r="C200" s="1">
        <v>5</v>
      </c>
      <c r="D200" t="s">
        <v>11</v>
      </c>
      <c r="E200" t="s">
        <v>52</v>
      </c>
      <c r="F200" t="s">
        <v>13</v>
      </c>
      <c r="G200" s="2"/>
      <c r="H200" s="3" t="str">
        <f>IF(OR(NOT(ISNUMBER($C200)),NOT(ISNUMBER($G200))),"",$C200*$G200)</f>
        <v/>
      </c>
      <c r="I200" t="s">
        <v>53</v>
      </c>
    </row>
    <row r="201" spans="1:9" x14ac:dyDescent="0.25">
      <c r="A201" t="s">
        <v>105</v>
      </c>
      <c r="B201" t="s">
        <v>18</v>
      </c>
      <c r="C201" s="1">
        <v>5</v>
      </c>
      <c r="D201" t="s">
        <v>19</v>
      </c>
      <c r="E201" t="s">
        <v>52</v>
      </c>
      <c r="F201" t="s">
        <v>13</v>
      </c>
      <c r="G201" s="2">
        <v>0.002</v>
      </c>
      <c r="H201" s="3">
        <f>IF(OR(NOT(ISNUMBER($C201)),NOT(ISNUMBER($G201))),"",$C201*$G201)</f>
        <v>0.01</v>
      </c>
      <c r="I201" t="s">
        <v>14</v>
      </c>
    </row>
    <row r="202" spans="1:9" x14ac:dyDescent="0.25">
      <c r="A202" t="s">
        <v>112</v>
      </c>
      <c r="B202" t="s">
        <v>85</v>
      </c>
      <c r="C202" s="1">
        <v>10</v>
      </c>
      <c r="D202" t="s">
        <v>19</v>
      </c>
      <c r="E202" t="s">
        <v>86</v>
      </c>
      <c r="F202" t="s">
        <v>13</v>
      </c>
      <c r="G202" s="2">
        <v>1.486</v>
      </c>
      <c r="H202" s="3">
        <f>IF(OR(NOT(ISNUMBER($C202)),NOT(ISNUMBER($G202))),"",$C202*$G202)</f>
        <v>14.86</v>
      </c>
      <c r="I202" t="s">
        <v>14</v>
      </c>
    </row>
    <row r="203" spans="1:9" x14ac:dyDescent="0.25">
      <c r="A203" t="s">
        <v>112</v>
      </c>
      <c r="B203" t="s">
        <v>113</v>
      </c>
      <c r="C203" s="1">
        <v>4</v>
      </c>
      <c r="D203" t="s">
        <v>11</v>
      </c>
      <c r="E203" t="s">
        <v>86</v>
      </c>
      <c r="F203" t="s">
        <v>13</v>
      </c>
      <c r="G203" s="2">
        <v>5.9</v>
      </c>
      <c r="H203" s="3">
        <f>IF(OR(NOT(ISNUMBER($C203)),NOT(ISNUMBER($G203))),"",$C203*$G203)</f>
        <v>23.6</v>
      </c>
      <c r="I203" t="s">
        <v>14</v>
      </c>
    </row>
    <row r="204" spans="1:9" x14ac:dyDescent="0.25">
      <c r="A204" t="s">
        <v>112</v>
      </c>
      <c r="B204" t="s">
        <v>15</v>
      </c>
      <c r="C204" s="1">
        <v>1</v>
      </c>
      <c r="D204" t="s">
        <v>16</v>
      </c>
      <c r="E204" t="s">
        <v>86</v>
      </c>
      <c r="F204" t="s">
        <v>13</v>
      </c>
      <c r="G204" s="2">
        <v>5</v>
      </c>
      <c r="H204" s="3">
        <f>IF(OR(NOT(ISNUMBER($C204)),NOT(ISNUMBER($G204))),"",$C204*$G204)</f>
        <v>5</v>
      </c>
      <c r="I204" t="s">
        <v>14</v>
      </c>
    </row>
    <row r="205" spans="1:9" x14ac:dyDescent="0.25">
      <c r="A205" t="s">
        <v>112</v>
      </c>
      <c r="B205" t="s">
        <v>17</v>
      </c>
      <c r="C205" s="1">
        <v>1</v>
      </c>
      <c r="D205" t="s">
        <v>16</v>
      </c>
      <c r="E205" t="s">
        <v>86</v>
      </c>
      <c r="F205" t="s">
        <v>13</v>
      </c>
      <c r="G205" s="2">
        <v>1.6</v>
      </c>
      <c r="H205" s="3">
        <f>IF(OR(NOT(ISNUMBER($C205)),NOT(ISNUMBER($G205))),"",$C205*$G205)</f>
        <v>1.6</v>
      </c>
      <c r="I205" t="s">
        <v>14</v>
      </c>
    </row>
    <row r="206" spans="1:9" x14ac:dyDescent="0.25">
      <c r="A206" t="s">
        <v>112</v>
      </c>
      <c r="B206" t="s">
        <v>81</v>
      </c>
      <c r="C206" s="1">
        <v>200</v>
      </c>
      <c r="D206" t="s">
        <v>19</v>
      </c>
      <c r="E206" t="s">
        <v>86</v>
      </c>
      <c r="F206" t="s">
        <v>13</v>
      </c>
      <c r="G206" s="2">
        <v>0.145</v>
      </c>
      <c r="H206" s="3">
        <f>IF(OR(NOT(ISNUMBER($C206)),NOT(ISNUMBER($G206))),"",$C206*$G206)</f>
        <v>29</v>
      </c>
      <c r="I206" t="s">
        <v>14</v>
      </c>
    </row>
    <row r="207" spans="1:9" x14ac:dyDescent="0.25">
      <c r="A207" t="s">
        <v>114</v>
      </c>
      <c r="B207" t="s">
        <v>85</v>
      </c>
      <c r="C207" s="1">
        <v>10</v>
      </c>
      <c r="D207" t="s">
        <v>19</v>
      </c>
      <c r="E207" t="s">
        <v>89</v>
      </c>
      <c r="F207" t="s">
        <v>13</v>
      </c>
      <c r="G207" s="2">
        <v>1.486</v>
      </c>
      <c r="H207" s="3">
        <f>IF(OR(NOT(ISNUMBER($C207)),NOT(ISNUMBER($G207))),"",$C207*$G207)</f>
        <v>14.86</v>
      </c>
      <c r="I207" t="s">
        <v>14</v>
      </c>
    </row>
    <row r="208" spans="1:9" x14ac:dyDescent="0.25">
      <c r="A208" t="s">
        <v>114</v>
      </c>
      <c r="B208" t="s">
        <v>90</v>
      </c>
      <c r="C208" s="1">
        <v>1</v>
      </c>
      <c r="D208" t="s">
        <v>16</v>
      </c>
      <c r="E208" t="s">
        <v>89</v>
      </c>
      <c r="F208" t="s">
        <v>13</v>
      </c>
      <c r="G208" s="2">
        <v>3.5</v>
      </c>
      <c r="H208" s="3">
        <f>IF(OR(NOT(ISNUMBER($C208)),NOT(ISNUMBER($G208))),"",$C208*$G208)</f>
        <v>3.5</v>
      </c>
      <c r="I208" t="s">
        <v>14</v>
      </c>
    </row>
    <row r="209" spans="1:9" x14ac:dyDescent="0.25">
      <c r="A209" t="s">
        <v>114</v>
      </c>
      <c r="B209" t="s">
        <v>113</v>
      </c>
      <c r="C209" s="1">
        <v>4</v>
      </c>
      <c r="D209" t="s">
        <v>11</v>
      </c>
      <c r="E209" t="s">
        <v>89</v>
      </c>
      <c r="F209" t="s">
        <v>13</v>
      </c>
      <c r="G209" s="2">
        <v>5.9</v>
      </c>
      <c r="H209" s="3">
        <f>IF(OR(NOT(ISNUMBER($C209)),NOT(ISNUMBER($G209))),"",$C209*$G209)</f>
        <v>23.6</v>
      </c>
      <c r="I209" t="s">
        <v>14</v>
      </c>
    </row>
    <row r="210" spans="1:9" x14ac:dyDescent="0.25">
      <c r="A210" t="s">
        <v>114</v>
      </c>
      <c r="B210" t="s">
        <v>23</v>
      </c>
      <c r="C210" s="1">
        <v>300</v>
      </c>
      <c r="D210" t="s">
        <v>11</v>
      </c>
      <c r="E210" t="s">
        <v>89</v>
      </c>
      <c r="F210" t="s">
        <v>13</v>
      </c>
      <c r="G210" s="2">
        <v>0.0015</v>
      </c>
      <c r="H210" s="3">
        <f>IF(OR(NOT(ISNUMBER($C210)),NOT(ISNUMBER($G210))),"",$C210*$G210)</f>
        <v>0.45</v>
      </c>
      <c r="I210" t="s">
        <v>14</v>
      </c>
    </row>
    <row r="211" spans="1:9" x14ac:dyDescent="0.25">
      <c r="A211" t="s">
        <v>114</v>
      </c>
      <c r="B211" t="s">
        <v>81</v>
      </c>
      <c r="C211" s="1">
        <v>150</v>
      </c>
      <c r="D211" t="s">
        <v>19</v>
      </c>
      <c r="E211" t="s">
        <v>89</v>
      </c>
      <c r="F211" t="s">
        <v>13</v>
      </c>
      <c r="G211" s="2">
        <v>0.145</v>
      </c>
      <c r="H211" s="3">
        <f>IF(OR(NOT(ISNUMBER($C211)),NOT(ISNUMBER($G211))),"",$C211*$G211)</f>
        <v>21.75</v>
      </c>
      <c r="I211" t="s">
        <v>14</v>
      </c>
    </row>
    <row r="212" spans="1:9" x14ac:dyDescent="0.25">
      <c r="A212" t="s">
        <v>114</v>
      </c>
      <c r="B212" t="s">
        <v>24</v>
      </c>
      <c r="C212" s="1">
        <v>1</v>
      </c>
      <c r="D212" t="s">
        <v>16</v>
      </c>
      <c r="E212" t="s">
        <v>89</v>
      </c>
      <c r="F212" t="s">
        <v>13</v>
      </c>
      <c r="G212" s="2">
        <v>1.6429</v>
      </c>
      <c r="H212" s="3">
        <f>IF(OR(NOT(ISNUMBER($C212)),NOT(ISNUMBER($G212))),"",$C212*$G212)</f>
        <v>1.6429</v>
      </c>
      <c r="I212" t="s">
        <v>14</v>
      </c>
    </row>
    <row r="213" spans="1:9" x14ac:dyDescent="0.25">
      <c r="A213" t="s">
        <v>115</v>
      </c>
      <c r="B213" t="s">
        <v>96</v>
      </c>
      <c r="C213" s="1">
        <v>12</v>
      </c>
      <c r="D213" t="s">
        <v>11</v>
      </c>
      <c r="E213" t="s">
        <v>52</v>
      </c>
      <c r="F213" t="s">
        <v>13</v>
      </c>
      <c r="G213" s="2"/>
      <c r="H213" s="3" t="str">
        <f>IF(OR(NOT(ISNUMBER($C213)),NOT(ISNUMBER($G213))),"",$C213*$G213)</f>
        <v/>
      </c>
      <c r="I213" t="s">
        <v>53</v>
      </c>
    </row>
    <row r="214" spans="1:9" x14ac:dyDescent="0.25">
      <c r="A214" t="s">
        <v>115</v>
      </c>
      <c r="B214" t="s">
        <v>62</v>
      </c>
      <c r="C214" s="1">
        <v>15</v>
      </c>
      <c r="D214" t="s">
        <v>11</v>
      </c>
      <c r="E214" t="s">
        <v>52</v>
      </c>
      <c r="F214" t="s">
        <v>13</v>
      </c>
      <c r="G214" s="2"/>
      <c r="H214" s="3" t="str">
        <f>IF(OR(NOT(ISNUMBER($C214)),NOT(ISNUMBER($G214))),"",$C214*$G214)</f>
        <v/>
      </c>
      <c r="I214" t="s">
        <v>53</v>
      </c>
    </row>
    <row r="215" spans="1:9" x14ac:dyDescent="0.25">
      <c r="A215" t="s">
        <v>116</v>
      </c>
      <c r="B215" t="s">
        <v>117</v>
      </c>
      <c r="C215" s="1">
        <v>30</v>
      </c>
      <c r="D215" t="s">
        <v>11</v>
      </c>
      <c r="E215" t="s">
        <v>74</v>
      </c>
      <c r="F215" t="s">
        <v>13</v>
      </c>
      <c r="G215" s="2">
        <v>0.35</v>
      </c>
      <c r="H215" s="3">
        <f>IF(OR(NOT(ISNUMBER($C215)),NOT(ISNUMBER($G215))),"",$C215*$G215)</f>
        <v>10.5</v>
      </c>
      <c r="I215" t="s">
        <v>14</v>
      </c>
    </row>
    <row r="216" spans="1:9" x14ac:dyDescent="0.25">
      <c r="A216" t="s">
        <v>116</v>
      </c>
      <c r="B216" t="s">
        <v>10</v>
      </c>
      <c r="C216" s="1">
        <v>17</v>
      </c>
      <c r="D216" t="s">
        <v>11</v>
      </c>
      <c r="E216" t="s">
        <v>74</v>
      </c>
      <c r="F216" t="s">
        <v>13</v>
      </c>
      <c r="G216" s="2">
        <v>1.1</v>
      </c>
      <c r="H216" s="3">
        <f>IF(OR(NOT(ISNUMBER($C216)),NOT(ISNUMBER($G216))),"",$C216*$G216)</f>
        <v>18.7</v>
      </c>
      <c r="I216" t="s">
        <v>14</v>
      </c>
    </row>
    <row r="217" spans="1:9" x14ac:dyDescent="0.25">
      <c r="A217" t="s">
        <v>116</v>
      </c>
      <c r="B217" t="s">
        <v>22</v>
      </c>
      <c r="C217" s="1">
        <v>1</v>
      </c>
      <c r="D217" t="s">
        <v>16</v>
      </c>
      <c r="E217" t="s">
        <v>74</v>
      </c>
      <c r="F217" t="s">
        <v>13</v>
      </c>
      <c r="G217" s="2">
        <v>3.64</v>
      </c>
      <c r="H217" s="3">
        <f>IF(OR(NOT(ISNUMBER($C217)),NOT(ISNUMBER($G217))),"",$C217*$G217)</f>
        <v>3.64</v>
      </c>
      <c r="I217" t="s">
        <v>14</v>
      </c>
    </row>
    <row r="218" spans="1:9" x14ac:dyDescent="0.25">
      <c r="A218" t="s">
        <v>116</v>
      </c>
      <c r="B218" t="s">
        <v>68</v>
      </c>
      <c r="C218" s="1">
        <v>40</v>
      </c>
      <c r="D218" t="s">
        <v>19</v>
      </c>
      <c r="E218" t="s">
        <v>74</v>
      </c>
      <c r="F218" t="s">
        <v>13</v>
      </c>
      <c r="G218" s="2">
        <v>0.6085</v>
      </c>
      <c r="H218" s="3">
        <f>IF(OR(NOT(ISNUMBER($C218)),NOT(ISNUMBER($G218))),"",$C218*$G218)</f>
        <v>24.34</v>
      </c>
      <c r="I218" t="s">
        <v>14</v>
      </c>
    </row>
    <row r="219" spans="1:9" x14ac:dyDescent="0.25">
      <c r="A219" t="s">
        <v>116</v>
      </c>
      <c r="B219" t="s">
        <v>38</v>
      </c>
      <c r="C219" s="1">
        <v>1</v>
      </c>
      <c r="D219" t="s">
        <v>16</v>
      </c>
      <c r="E219" t="s">
        <v>74</v>
      </c>
      <c r="F219" t="s">
        <v>13</v>
      </c>
      <c r="G219" s="2">
        <v>1.86</v>
      </c>
      <c r="H219" s="3">
        <f>IF(OR(NOT(ISNUMBER($C219)),NOT(ISNUMBER($G219))),"",$C219*$G219)</f>
        <v>1.86</v>
      </c>
      <c r="I219" t="s">
        <v>14</v>
      </c>
    </row>
    <row r="220" spans="1:9" x14ac:dyDescent="0.25">
      <c r="A220" t="s">
        <v>116</v>
      </c>
      <c r="B220" t="s">
        <v>27</v>
      </c>
      <c r="C220" s="1">
        <v>100</v>
      </c>
      <c r="D220" t="s">
        <v>19</v>
      </c>
      <c r="E220" t="s">
        <v>74</v>
      </c>
      <c r="F220" t="s">
        <v>13</v>
      </c>
      <c r="G220" s="2">
        <v>0.09</v>
      </c>
      <c r="H220" s="3">
        <f>IF(OR(NOT(ISNUMBER($C220)),NOT(ISNUMBER($G220))),"",$C220*$G220)</f>
        <v>9</v>
      </c>
      <c r="I220" t="s">
        <v>14</v>
      </c>
    </row>
    <row r="221" spans="1:9" x14ac:dyDescent="0.25">
      <c r="A221" t="s">
        <v>116</v>
      </c>
      <c r="B221" t="s">
        <v>39</v>
      </c>
      <c r="C221" s="1">
        <v>30</v>
      </c>
      <c r="D221" t="s">
        <v>11</v>
      </c>
      <c r="E221" t="s">
        <v>74</v>
      </c>
      <c r="F221" t="s">
        <v>13</v>
      </c>
      <c r="G221" s="2">
        <v>0.7253</v>
      </c>
      <c r="H221" s="3">
        <f>IF(OR(NOT(ISNUMBER($C221)),NOT(ISNUMBER($G221))),"",$C221*$G221)</f>
        <v>21.759</v>
      </c>
      <c r="I221" t="s">
        <v>14</v>
      </c>
    </row>
    <row r="222" spans="1:9" x14ac:dyDescent="0.25">
      <c r="A222" t="s">
        <v>116</v>
      </c>
      <c r="B222" t="s">
        <v>23</v>
      </c>
      <c r="C222" s="1">
        <v>300</v>
      </c>
      <c r="D222" t="s">
        <v>11</v>
      </c>
      <c r="E222" t="s">
        <v>74</v>
      </c>
      <c r="F222" t="s">
        <v>13</v>
      </c>
      <c r="G222" s="2">
        <v>0.0015</v>
      </c>
      <c r="H222" s="3">
        <f>IF(OR(NOT(ISNUMBER($C222)),NOT(ISNUMBER($G222))),"",$C222*$G222)</f>
        <v>0.45</v>
      </c>
      <c r="I222" t="s">
        <v>14</v>
      </c>
    </row>
    <row r="223" spans="1:9" x14ac:dyDescent="0.25">
      <c r="A223" t="s">
        <v>116</v>
      </c>
      <c r="B223" t="s">
        <v>40</v>
      </c>
      <c r="C223" s="1">
        <v>15</v>
      </c>
      <c r="D223" t="s">
        <v>11</v>
      </c>
      <c r="E223" t="s">
        <v>74</v>
      </c>
      <c r="F223" t="s">
        <v>13</v>
      </c>
      <c r="G223" s="2">
        <v>0.27</v>
      </c>
      <c r="H223" s="3">
        <f>IF(OR(NOT(ISNUMBER($C223)),NOT(ISNUMBER($G223))),"",$C223*$G223)</f>
        <v>4.05</v>
      </c>
      <c r="I223" t="s">
        <v>14</v>
      </c>
    </row>
    <row r="224" spans="1:9" x14ac:dyDescent="0.25">
      <c r="A224" t="s">
        <v>118</v>
      </c>
      <c r="B224" t="s">
        <v>22</v>
      </c>
      <c r="C224" s="1">
        <v>1</v>
      </c>
      <c r="D224" t="s">
        <v>16</v>
      </c>
      <c r="E224" t="s">
        <v>45</v>
      </c>
      <c r="F224" t="s">
        <v>13</v>
      </c>
      <c r="G224" s="2">
        <v>3.64</v>
      </c>
      <c r="H224" s="3">
        <f>IF(OR(NOT(ISNUMBER($C224)),NOT(ISNUMBER($G224))),"",$C224*$G224)</f>
        <v>3.64</v>
      </c>
      <c r="I224" t="s">
        <v>14</v>
      </c>
    </row>
    <row r="225" spans="1:9" x14ac:dyDescent="0.25">
      <c r="A225" t="s">
        <v>118</v>
      </c>
      <c r="B225" t="s">
        <v>46</v>
      </c>
      <c r="C225" s="1">
        <v>0.5</v>
      </c>
      <c r="D225" t="s">
        <v>11</v>
      </c>
      <c r="E225" t="s">
        <v>45</v>
      </c>
      <c r="F225" t="s">
        <v>13</v>
      </c>
      <c r="G225" s="2">
        <v>0.749</v>
      </c>
      <c r="H225" s="3">
        <f>IF(OR(NOT(ISNUMBER($C225)),NOT(ISNUMBER($G225))),"",$C225*$G225)</f>
        <v>0.3745</v>
      </c>
      <c r="I225" t="s">
        <v>14</v>
      </c>
    </row>
    <row r="226" spans="1:9" x14ac:dyDescent="0.25">
      <c r="A226" t="s">
        <v>118</v>
      </c>
      <c r="B226" t="s">
        <v>23</v>
      </c>
      <c r="C226" s="1">
        <v>300</v>
      </c>
      <c r="D226" t="s">
        <v>11</v>
      </c>
      <c r="E226" t="s">
        <v>45</v>
      </c>
      <c r="F226" t="s">
        <v>13</v>
      </c>
      <c r="G226" s="2">
        <v>0.0015</v>
      </c>
      <c r="H226" s="3">
        <f>IF(OR(NOT(ISNUMBER($C226)),NOT(ISNUMBER($G226))),"",$C226*$G226)</f>
        <v>0.45</v>
      </c>
      <c r="I226" t="s">
        <v>14</v>
      </c>
    </row>
    <row r="227" spans="1:9" x14ac:dyDescent="0.25">
      <c r="A227" t="s">
        <v>118</v>
      </c>
      <c r="B227" t="s">
        <v>119</v>
      </c>
      <c r="C227" s="1">
        <v>50</v>
      </c>
      <c r="D227" t="s">
        <v>11</v>
      </c>
      <c r="E227" t="s">
        <v>45</v>
      </c>
      <c r="F227" t="s">
        <v>13</v>
      </c>
      <c r="G227" s="2">
        <v>0.1267</v>
      </c>
      <c r="H227" s="3">
        <f>IF(OR(NOT(ISNUMBER($C227)),NOT(ISNUMBER($G227))),"",$C227*$G227)</f>
        <v>6.335</v>
      </c>
      <c r="I227" t="s">
        <v>14</v>
      </c>
    </row>
    <row r="228" spans="1:9" x14ac:dyDescent="0.25">
      <c r="A228" t="s">
        <v>118</v>
      </c>
      <c r="B228" t="s">
        <v>47</v>
      </c>
      <c r="C228" s="1">
        <v>15</v>
      </c>
      <c r="D228" t="s">
        <v>11</v>
      </c>
      <c r="E228" t="s">
        <v>45</v>
      </c>
      <c r="F228" t="s">
        <v>13</v>
      </c>
      <c r="G228" s="2">
        <v>0.29</v>
      </c>
      <c r="H228" s="3">
        <f>IF(OR(NOT(ISNUMBER($C228)),NOT(ISNUMBER($G228))),"",$C228*$G228)</f>
        <v>4.35</v>
      </c>
      <c r="I228" t="s">
        <v>14</v>
      </c>
    </row>
    <row r="229" spans="1:9" x14ac:dyDescent="0.25">
      <c r="A229" t="s">
        <v>118</v>
      </c>
      <c r="B229" t="s">
        <v>48</v>
      </c>
      <c r="C229" s="1">
        <v>200</v>
      </c>
      <c r="D229" t="s">
        <v>19</v>
      </c>
      <c r="E229" t="s">
        <v>45</v>
      </c>
      <c r="F229" t="s">
        <v>13</v>
      </c>
      <c r="G229" s="2">
        <v>0.0467</v>
      </c>
      <c r="H229" s="3">
        <f>IF(OR(NOT(ISNUMBER($C229)),NOT(ISNUMBER($G229))),"",$C229*$G229)</f>
        <v>9.34</v>
      </c>
      <c r="I229" t="s">
        <v>14</v>
      </c>
    </row>
    <row r="230" spans="1:9" x14ac:dyDescent="0.25">
      <c r="A230" t="s">
        <v>118</v>
      </c>
      <c r="B230" t="s">
        <v>24</v>
      </c>
      <c r="C230" s="1">
        <v>1</v>
      </c>
      <c r="D230" t="s">
        <v>16</v>
      </c>
      <c r="E230" t="s">
        <v>45</v>
      </c>
      <c r="F230" t="s">
        <v>13</v>
      </c>
      <c r="G230" s="2">
        <v>1.6429</v>
      </c>
      <c r="H230" s="3">
        <f>IF(OR(NOT(ISNUMBER($C230)),NOT(ISNUMBER($G230))),"",$C230*$G230)</f>
        <v>1.6429</v>
      </c>
      <c r="I230" t="s">
        <v>14</v>
      </c>
    </row>
    <row r="231" spans="1:9" x14ac:dyDescent="0.25">
      <c r="A231" t="s">
        <v>120</v>
      </c>
      <c r="B231" t="s">
        <v>10</v>
      </c>
      <c r="C231" s="1">
        <v>50</v>
      </c>
      <c r="D231" t="s">
        <v>11</v>
      </c>
      <c r="E231" t="s">
        <v>12</v>
      </c>
      <c r="F231" t="s">
        <v>13</v>
      </c>
      <c r="G231" s="2">
        <v>1.1</v>
      </c>
      <c r="H231" s="3">
        <f>IF(OR(NOT(ISNUMBER($C231)),NOT(ISNUMBER($G231))),"",$C231*$G231)</f>
        <v>55</v>
      </c>
      <c r="I231" t="s">
        <v>14</v>
      </c>
    </row>
    <row r="232" spans="1:9" x14ac:dyDescent="0.25">
      <c r="A232" t="s">
        <v>120</v>
      </c>
      <c r="B232" t="s">
        <v>15</v>
      </c>
      <c r="C232" s="1">
        <v>1</v>
      </c>
      <c r="D232" t="s">
        <v>16</v>
      </c>
      <c r="E232" t="s">
        <v>12</v>
      </c>
      <c r="F232" t="s">
        <v>13</v>
      </c>
      <c r="G232" s="2">
        <v>5</v>
      </c>
      <c r="H232" s="3">
        <f>IF(OR(NOT(ISNUMBER($C232)),NOT(ISNUMBER($G232))),"",$C232*$G232)</f>
        <v>5</v>
      </c>
      <c r="I232" t="s">
        <v>14</v>
      </c>
    </row>
    <row r="233" spans="1:9" x14ac:dyDescent="0.25">
      <c r="A233" t="s">
        <v>120</v>
      </c>
      <c r="B233" t="s">
        <v>17</v>
      </c>
      <c r="C233" s="1">
        <v>1</v>
      </c>
      <c r="D233" t="s">
        <v>16</v>
      </c>
      <c r="E233" t="s">
        <v>12</v>
      </c>
      <c r="F233" t="s">
        <v>13</v>
      </c>
      <c r="G233" s="2">
        <v>1.6</v>
      </c>
      <c r="H233" s="3">
        <f>IF(OR(NOT(ISNUMBER($C233)),NOT(ISNUMBER($G233))),"",$C233*$G233)</f>
        <v>1.6</v>
      </c>
      <c r="I233" t="s">
        <v>14</v>
      </c>
    </row>
    <row r="234" spans="1:9" x14ac:dyDescent="0.25">
      <c r="A234" t="s">
        <v>120</v>
      </c>
      <c r="B234" t="s">
        <v>18</v>
      </c>
      <c r="C234" s="1">
        <v>200</v>
      </c>
      <c r="D234" t="s">
        <v>19</v>
      </c>
      <c r="E234" t="s">
        <v>12</v>
      </c>
      <c r="F234" t="s">
        <v>13</v>
      </c>
      <c r="G234" s="2">
        <v>0.002</v>
      </c>
      <c r="H234" s="3">
        <f>IF(OR(NOT(ISNUMBER($C234)),NOT(ISNUMBER($G234))),"",$C234*$G234)</f>
        <v>0.4</v>
      </c>
      <c r="I234" t="s">
        <v>14</v>
      </c>
    </row>
    <row r="235" spans="1:9" x14ac:dyDescent="0.25">
      <c r="A235" t="s">
        <v>121</v>
      </c>
      <c r="B235" t="s">
        <v>10</v>
      </c>
      <c r="C235" s="1">
        <v>50</v>
      </c>
      <c r="D235" t="s">
        <v>11</v>
      </c>
      <c r="E235" t="s">
        <v>21</v>
      </c>
      <c r="F235" t="s">
        <v>13</v>
      </c>
      <c r="G235" s="2">
        <v>1.1</v>
      </c>
      <c r="H235" s="3">
        <f>IF(OR(NOT(ISNUMBER($C235)),NOT(ISNUMBER($G235))),"",$C235*$G235)</f>
        <v>55</v>
      </c>
      <c r="I235" t="s">
        <v>14</v>
      </c>
    </row>
    <row r="236" spans="1:9" x14ac:dyDescent="0.25">
      <c r="A236" t="s">
        <v>121</v>
      </c>
      <c r="B236" t="s">
        <v>22</v>
      </c>
      <c r="C236" s="1">
        <v>1</v>
      </c>
      <c r="D236" t="s">
        <v>16</v>
      </c>
      <c r="E236" t="s">
        <v>21</v>
      </c>
      <c r="F236" t="s">
        <v>13</v>
      </c>
      <c r="G236" s="2">
        <v>3.64</v>
      </c>
      <c r="H236" s="3">
        <f>IF(OR(NOT(ISNUMBER($C236)),NOT(ISNUMBER($G236))),"",$C236*$G236)</f>
        <v>3.64</v>
      </c>
      <c r="I236" t="s">
        <v>14</v>
      </c>
    </row>
    <row r="237" spans="1:9" x14ac:dyDescent="0.25">
      <c r="A237" t="s">
        <v>121</v>
      </c>
      <c r="B237" t="s">
        <v>23</v>
      </c>
      <c r="C237" s="1">
        <v>300</v>
      </c>
      <c r="D237" t="s">
        <v>11</v>
      </c>
      <c r="E237" t="s">
        <v>21</v>
      </c>
      <c r="F237" t="s">
        <v>13</v>
      </c>
      <c r="G237" s="2">
        <v>0.0015</v>
      </c>
      <c r="H237" s="3">
        <f>IF(OR(NOT(ISNUMBER($C237)),NOT(ISNUMBER($G237))),"",$C237*$G237)</f>
        <v>0.45</v>
      </c>
      <c r="I237" t="s">
        <v>14</v>
      </c>
    </row>
    <row r="238" spans="1:9" x14ac:dyDescent="0.25">
      <c r="A238" t="s">
        <v>121</v>
      </c>
      <c r="B238" t="s">
        <v>24</v>
      </c>
      <c r="C238" s="1">
        <v>1</v>
      </c>
      <c r="D238" t="s">
        <v>16</v>
      </c>
      <c r="E238" t="s">
        <v>21</v>
      </c>
      <c r="F238" t="s">
        <v>13</v>
      </c>
      <c r="G238" s="2">
        <v>1.6429</v>
      </c>
      <c r="H238" s="3">
        <f>IF(OR(NOT(ISNUMBER($C238)),NOT(ISNUMBER($G238))),"",$C238*$G238)</f>
        <v>1.6429</v>
      </c>
      <c r="I238" t="s">
        <v>14</v>
      </c>
    </row>
    <row r="239" spans="1:9" x14ac:dyDescent="0.25">
      <c r="A239" t="s">
        <v>121</v>
      </c>
      <c r="B239" t="s">
        <v>18</v>
      </c>
      <c r="C239" s="1">
        <v>150</v>
      </c>
      <c r="D239" t="s">
        <v>19</v>
      </c>
      <c r="E239" t="s">
        <v>21</v>
      </c>
      <c r="F239" t="s">
        <v>13</v>
      </c>
      <c r="G239" s="2">
        <v>0.002</v>
      </c>
      <c r="H239" s="3">
        <f>IF(OR(NOT(ISNUMBER($C239)),NOT(ISNUMBER($G239))),"",$C239*$G239)</f>
        <v>0.3</v>
      </c>
      <c r="I239" t="s">
        <v>14</v>
      </c>
    </row>
    <row r="240" spans="1:9" x14ac:dyDescent="0.25">
      <c r="A240" t="s">
        <v>122</v>
      </c>
      <c r="B240" t="s">
        <v>85</v>
      </c>
      <c r="C240" s="1">
        <v>10</v>
      </c>
      <c r="D240" t="s">
        <v>19</v>
      </c>
      <c r="E240" t="s">
        <v>89</v>
      </c>
      <c r="F240" t="s">
        <v>13</v>
      </c>
      <c r="G240" s="2">
        <v>1.486</v>
      </c>
      <c r="H240" s="3">
        <f>IF(OR(NOT(ISNUMBER($C240)),NOT(ISNUMBER($G240))),"",$C240*$G240)</f>
        <v>14.86</v>
      </c>
      <c r="I240" t="s">
        <v>14</v>
      </c>
    </row>
    <row r="241" spans="1:9" x14ac:dyDescent="0.25">
      <c r="A241" t="s">
        <v>122</v>
      </c>
      <c r="B241" t="s">
        <v>90</v>
      </c>
      <c r="C241" s="1">
        <v>1</v>
      </c>
      <c r="D241" t="s">
        <v>16</v>
      </c>
      <c r="E241" t="s">
        <v>89</v>
      </c>
      <c r="F241" t="s">
        <v>13</v>
      </c>
      <c r="G241" s="2">
        <v>3.5</v>
      </c>
      <c r="H241" s="3">
        <f>IF(OR(NOT(ISNUMBER($C241)),NOT(ISNUMBER($G241))),"",$C241*$G241)</f>
        <v>3.5</v>
      </c>
      <c r="I241" t="s">
        <v>14</v>
      </c>
    </row>
    <row r="242" spans="1:9" x14ac:dyDescent="0.25">
      <c r="A242" t="s">
        <v>122</v>
      </c>
      <c r="B242" t="s">
        <v>23</v>
      </c>
      <c r="C242" s="1">
        <v>300</v>
      </c>
      <c r="D242" t="s">
        <v>11</v>
      </c>
      <c r="E242" t="s">
        <v>89</v>
      </c>
      <c r="F242" t="s">
        <v>13</v>
      </c>
      <c r="G242" s="2">
        <v>0.0015</v>
      </c>
      <c r="H242" s="3">
        <f>IF(OR(NOT(ISNUMBER($C242)),NOT(ISNUMBER($G242))),"",$C242*$G242)</f>
        <v>0.45</v>
      </c>
      <c r="I242" t="s">
        <v>14</v>
      </c>
    </row>
    <row r="243" spans="1:9" x14ac:dyDescent="0.25">
      <c r="A243" t="s">
        <v>122</v>
      </c>
      <c r="B243" t="s">
        <v>123</v>
      </c>
      <c r="C243" s="1">
        <v>2</v>
      </c>
      <c r="D243" t="s">
        <v>11</v>
      </c>
      <c r="E243" t="s">
        <v>89</v>
      </c>
      <c r="F243" t="s">
        <v>13</v>
      </c>
      <c r="G243" s="2">
        <v>1.55</v>
      </c>
      <c r="H243" s="3">
        <f>IF(OR(NOT(ISNUMBER($C243)),NOT(ISNUMBER($G243))),"",$C243*$G243)</f>
        <v>3.1</v>
      </c>
      <c r="I243" t="s">
        <v>14</v>
      </c>
    </row>
    <row r="244" spans="1:9" x14ac:dyDescent="0.25">
      <c r="A244" t="s">
        <v>122</v>
      </c>
      <c r="B244" t="s">
        <v>81</v>
      </c>
      <c r="C244" s="1">
        <v>150</v>
      </c>
      <c r="D244" t="s">
        <v>19</v>
      </c>
      <c r="E244" t="s">
        <v>89</v>
      </c>
      <c r="F244" t="s">
        <v>13</v>
      </c>
      <c r="G244" s="2">
        <v>0.145</v>
      </c>
      <c r="H244" s="3">
        <f>IF(OR(NOT(ISNUMBER($C244)),NOT(ISNUMBER($G244))),"",$C244*$G244)</f>
        <v>21.75</v>
      </c>
      <c r="I244" t="s">
        <v>14</v>
      </c>
    </row>
    <row r="245" spans="1:9" x14ac:dyDescent="0.25">
      <c r="A245" t="s">
        <v>122</v>
      </c>
      <c r="B245" t="s">
        <v>87</v>
      </c>
      <c r="C245" s="1">
        <v>4</v>
      </c>
      <c r="D245" t="s">
        <v>11</v>
      </c>
      <c r="E245" t="s">
        <v>89</v>
      </c>
      <c r="F245" t="s">
        <v>13</v>
      </c>
      <c r="G245" s="2">
        <v>11.738</v>
      </c>
      <c r="H245" s="3">
        <f>IF(OR(NOT(ISNUMBER($C245)),NOT(ISNUMBER($G245))),"",$C245*$G245)</f>
        <v>46.952</v>
      </c>
      <c r="I245" t="s">
        <v>14</v>
      </c>
    </row>
    <row r="246" spans="1:9" x14ac:dyDescent="0.25">
      <c r="A246" t="s">
        <v>122</v>
      </c>
      <c r="B246" t="s">
        <v>24</v>
      </c>
      <c r="C246" s="1">
        <v>1</v>
      </c>
      <c r="D246" t="s">
        <v>16</v>
      </c>
      <c r="E246" t="s">
        <v>89</v>
      </c>
      <c r="F246" t="s">
        <v>13</v>
      </c>
      <c r="G246" s="2">
        <v>1.6429</v>
      </c>
      <c r="H246" s="3">
        <f>IF(OR(NOT(ISNUMBER($C246)),NOT(ISNUMBER($G246))),"",$C246*$G246)</f>
        <v>1.6429</v>
      </c>
      <c r="I246" t="s">
        <v>14</v>
      </c>
    </row>
    <row r="247" spans="1:9" x14ac:dyDescent="0.25">
      <c r="A247" t="s">
        <v>122</v>
      </c>
      <c r="B247" t="s">
        <v>40</v>
      </c>
      <c r="C247" s="1">
        <v>10</v>
      </c>
      <c r="D247" t="s">
        <v>11</v>
      </c>
      <c r="E247" t="s">
        <v>89</v>
      </c>
      <c r="F247" t="s">
        <v>13</v>
      </c>
      <c r="G247" s="2">
        <v>0.27</v>
      </c>
      <c r="H247" s="3">
        <f>IF(OR(NOT(ISNUMBER($C247)),NOT(ISNUMBER($G247))),"",$C247*$G247)</f>
        <v>2.7</v>
      </c>
      <c r="I247" t="s">
        <v>14</v>
      </c>
    </row>
    <row r="248" spans="1:9" x14ac:dyDescent="0.25">
      <c r="A248" t="s">
        <v>124</v>
      </c>
      <c r="B248" t="s">
        <v>85</v>
      </c>
      <c r="C248" s="1">
        <v>10</v>
      </c>
      <c r="D248" t="s">
        <v>19</v>
      </c>
      <c r="E248" t="s">
        <v>86</v>
      </c>
      <c r="F248" t="s">
        <v>13</v>
      </c>
      <c r="G248" s="2">
        <v>1.486</v>
      </c>
      <c r="H248" s="3">
        <f>IF(OR(NOT(ISNUMBER($C248)),NOT(ISNUMBER($G248))),"",$C248*$G248)</f>
        <v>14.86</v>
      </c>
      <c r="I248" t="s">
        <v>14</v>
      </c>
    </row>
    <row r="249" spans="1:9" x14ac:dyDescent="0.25">
      <c r="A249" t="s">
        <v>124</v>
      </c>
      <c r="B249" t="s">
        <v>15</v>
      </c>
      <c r="C249" s="1">
        <v>1</v>
      </c>
      <c r="D249" t="s">
        <v>16</v>
      </c>
      <c r="E249" t="s">
        <v>86</v>
      </c>
      <c r="F249" t="s">
        <v>13</v>
      </c>
      <c r="G249" s="2">
        <v>5</v>
      </c>
      <c r="H249" s="3">
        <f>IF(OR(NOT(ISNUMBER($C249)),NOT(ISNUMBER($G249))),"",$C249*$G249)</f>
        <v>5</v>
      </c>
      <c r="I249" t="s">
        <v>14</v>
      </c>
    </row>
    <row r="250" spans="1:9" x14ac:dyDescent="0.25">
      <c r="A250" t="s">
        <v>124</v>
      </c>
      <c r="B250" t="s">
        <v>17</v>
      </c>
      <c r="C250" s="1">
        <v>1</v>
      </c>
      <c r="D250" t="s">
        <v>16</v>
      </c>
      <c r="E250" t="s">
        <v>86</v>
      </c>
      <c r="F250" t="s">
        <v>13</v>
      </c>
      <c r="G250" s="2">
        <v>1.6</v>
      </c>
      <c r="H250" s="3">
        <f>IF(OR(NOT(ISNUMBER($C250)),NOT(ISNUMBER($G250))),"",$C250*$G250)</f>
        <v>1.6</v>
      </c>
      <c r="I250" t="s">
        <v>14</v>
      </c>
    </row>
    <row r="251" spans="1:9" x14ac:dyDescent="0.25">
      <c r="A251" t="s">
        <v>124</v>
      </c>
      <c r="B251" t="s">
        <v>81</v>
      </c>
      <c r="C251" s="1">
        <v>200</v>
      </c>
      <c r="D251" t="s">
        <v>19</v>
      </c>
      <c r="E251" t="s">
        <v>86</v>
      </c>
      <c r="F251" t="s">
        <v>13</v>
      </c>
      <c r="G251" s="2">
        <v>0.145</v>
      </c>
      <c r="H251" s="3">
        <f>IF(OR(NOT(ISNUMBER($C251)),NOT(ISNUMBER($G251))),"",$C251*$G251)</f>
        <v>29</v>
      </c>
      <c r="I251" t="s">
        <v>14</v>
      </c>
    </row>
    <row r="252" spans="1:9" x14ac:dyDescent="0.25">
      <c r="A252" t="s">
        <v>124</v>
      </c>
      <c r="B252" t="s">
        <v>87</v>
      </c>
      <c r="C252" s="1">
        <v>4</v>
      </c>
      <c r="D252" t="s">
        <v>11</v>
      </c>
      <c r="E252" t="s">
        <v>86</v>
      </c>
      <c r="F252" t="s">
        <v>13</v>
      </c>
      <c r="G252" s="2">
        <v>11.738</v>
      </c>
      <c r="H252" s="3">
        <f>IF(OR(NOT(ISNUMBER($C252)),NOT(ISNUMBER($G252))),"",$C252*$G252)</f>
        <v>46.952</v>
      </c>
      <c r="I252" t="s">
        <v>14</v>
      </c>
    </row>
    <row r="253" spans="1:9" x14ac:dyDescent="0.25">
      <c r="A253" t="s">
        <v>125</v>
      </c>
      <c r="B253" t="s">
        <v>85</v>
      </c>
      <c r="C253" s="1">
        <v>10</v>
      </c>
      <c r="D253" t="s">
        <v>19</v>
      </c>
      <c r="E253" t="s">
        <v>89</v>
      </c>
      <c r="F253" t="s">
        <v>13</v>
      </c>
      <c r="G253" s="2">
        <v>1.486</v>
      </c>
      <c r="H253" s="3">
        <f>IF(OR(NOT(ISNUMBER($C253)),NOT(ISNUMBER($G253))),"",$C253*$G253)</f>
        <v>14.86</v>
      </c>
      <c r="I253" t="s">
        <v>14</v>
      </c>
    </row>
    <row r="254" spans="1:9" x14ac:dyDescent="0.25">
      <c r="A254" t="s">
        <v>125</v>
      </c>
      <c r="B254" t="s">
        <v>90</v>
      </c>
      <c r="C254" s="1">
        <v>1</v>
      </c>
      <c r="D254" t="s">
        <v>16</v>
      </c>
      <c r="E254" t="s">
        <v>89</v>
      </c>
      <c r="F254" t="s">
        <v>13</v>
      </c>
      <c r="G254" s="2">
        <v>3.5</v>
      </c>
      <c r="H254" s="3">
        <f>IF(OR(NOT(ISNUMBER($C254)),NOT(ISNUMBER($G254))),"",$C254*$G254)</f>
        <v>3.5</v>
      </c>
      <c r="I254" t="s">
        <v>14</v>
      </c>
    </row>
    <row r="255" spans="1:9" x14ac:dyDescent="0.25">
      <c r="A255" t="s">
        <v>125</v>
      </c>
      <c r="B255" t="s">
        <v>23</v>
      </c>
      <c r="C255" s="1">
        <v>300</v>
      </c>
      <c r="D255" t="s">
        <v>11</v>
      </c>
      <c r="E255" t="s">
        <v>89</v>
      </c>
      <c r="F255" t="s">
        <v>13</v>
      </c>
      <c r="G255" s="2">
        <v>0.0015</v>
      </c>
      <c r="H255" s="3">
        <f>IF(OR(NOT(ISNUMBER($C255)),NOT(ISNUMBER($G255))),"",$C255*$G255)</f>
        <v>0.45</v>
      </c>
      <c r="I255" t="s">
        <v>14</v>
      </c>
    </row>
    <row r="256" spans="1:9" x14ac:dyDescent="0.25">
      <c r="A256" t="s">
        <v>125</v>
      </c>
      <c r="B256" t="s">
        <v>81</v>
      </c>
      <c r="C256" s="1">
        <v>150</v>
      </c>
      <c r="D256" t="s">
        <v>19</v>
      </c>
      <c r="E256" t="s">
        <v>89</v>
      </c>
      <c r="F256" t="s">
        <v>13</v>
      </c>
      <c r="G256" s="2">
        <v>0.145</v>
      </c>
      <c r="H256" s="3">
        <f>IF(OR(NOT(ISNUMBER($C256)),NOT(ISNUMBER($G256))),"",$C256*$G256)</f>
        <v>21.75</v>
      </c>
      <c r="I256" t="s">
        <v>14</v>
      </c>
    </row>
    <row r="257" spans="1:9" x14ac:dyDescent="0.25">
      <c r="A257" t="s">
        <v>125</v>
      </c>
      <c r="B257" t="s">
        <v>87</v>
      </c>
      <c r="C257" s="1">
        <v>4</v>
      </c>
      <c r="D257" t="s">
        <v>11</v>
      </c>
      <c r="E257" t="s">
        <v>89</v>
      </c>
      <c r="F257" t="s">
        <v>13</v>
      </c>
      <c r="G257" s="2">
        <v>11.738</v>
      </c>
      <c r="H257" s="3">
        <f>IF(OR(NOT(ISNUMBER($C257)),NOT(ISNUMBER($G257))),"",$C257*$G257)</f>
        <v>46.952</v>
      </c>
      <c r="I257" t="s">
        <v>14</v>
      </c>
    </row>
    <row r="258" spans="1:9" x14ac:dyDescent="0.25">
      <c r="A258" t="s">
        <v>125</v>
      </c>
      <c r="B258" t="s">
        <v>24</v>
      </c>
      <c r="C258" s="1">
        <v>1</v>
      </c>
      <c r="D258" t="s">
        <v>16</v>
      </c>
      <c r="E258" t="s">
        <v>89</v>
      </c>
      <c r="F258" t="s">
        <v>13</v>
      </c>
      <c r="G258" s="2">
        <v>1.6429</v>
      </c>
      <c r="H258" s="3">
        <f>IF(OR(NOT(ISNUMBER($C258)),NOT(ISNUMBER($G258))),"",$C258*$G258)</f>
        <v>1.6429</v>
      </c>
      <c r="I258" t="s">
        <v>14</v>
      </c>
    </row>
    <row r="259" spans="1:9" x14ac:dyDescent="0.25">
      <c r="A259" t="s">
        <v>126</v>
      </c>
      <c r="B259" t="s">
        <v>85</v>
      </c>
      <c r="C259" s="1">
        <v>10</v>
      </c>
      <c r="D259" t="s">
        <v>19</v>
      </c>
      <c r="E259" t="s">
        <v>89</v>
      </c>
      <c r="F259" t="s">
        <v>13</v>
      </c>
      <c r="G259" s="2">
        <v>1.486</v>
      </c>
      <c r="H259" s="3">
        <f>IF(OR(NOT(ISNUMBER($C259)),NOT(ISNUMBER($G259))),"",$C259*$G259)</f>
        <v>14.86</v>
      </c>
      <c r="I259" t="s">
        <v>14</v>
      </c>
    </row>
    <row r="260" spans="1:9" x14ac:dyDescent="0.25">
      <c r="A260" t="s">
        <v>126</v>
      </c>
      <c r="B260" t="s">
        <v>90</v>
      </c>
      <c r="C260" s="1">
        <v>1</v>
      </c>
      <c r="D260" t="s">
        <v>16</v>
      </c>
      <c r="E260" t="s">
        <v>89</v>
      </c>
      <c r="F260" t="s">
        <v>13</v>
      </c>
      <c r="G260" s="2">
        <v>3.5</v>
      </c>
      <c r="H260" s="3">
        <f>IF(OR(NOT(ISNUMBER($C260)),NOT(ISNUMBER($G260))),"",$C260*$G260)</f>
        <v>3.5</v>
      </c>
      <c r="I260" t="s">
        <v>14</v>
      </c>
    </row>
    <row r="261" spans="1:9" x14ac:dyDescent="0.25">
      <c r="A261" t="s">
        <v>126</v>
      </c>
      <c r="B261" t="s">
        <v>127</v>
      </c>
      <c r="C261" s="1">
        <v>15</v>
      </c>
      <c r="D261" t="s">
        <v>19</v>
      </c>
      <c r="E261" t="s">
        <v>89</v>
      </c>
      <c r="F261" t="s">
        <v>13</v>
      </c>
      <c r="G261" s="2">
        <v>0.5</v>
      </c>
      <c r="H261" s="3">
        <f>IF(OR(NOT(ISNUMBER($C261)),NOT(ISNUMBER($G261))),"",$C261*$G261)</f>
        <v>7.5</v>
      </c>
      <c r="I261" t="s">
        <v>14</v>
      </c>
    </row>
    <row r="262" spans="1:9" x14ac:dyDescent="0.25">
      <c r="A262" t="s">
        <v>126</v>
      </c>
      <c r="B262" t="s">
        <v>23</v>
      </c>
      <c r="C262" s="1">
        <v>300</v>
      </c>
      <c r="D262" t="s">
        <v>11</v>
      </c>
      <c r="E262" t="s">
        <v>89</v>
      </c>
      <c r="F262" t="s">
        <v>13</v>
      </c>
      <c r="G262" s="2">
        <v>0.0015</v>
      </c>
      <c r="H262" s="3">
        <f>IF(OR(NOT(ISNUMBER($C262)),NOT(ISNUMBER($G262))),"",$C262*$G262)</f>
        <v>0.45</v>
      </c>
      <c r="I262" t="s">
        <v>14</v>
      </c>
    </row>
    <row r="263" spans="1:9" x14ac:dyDescent="0.25">
      <c r="A263" t="s">
        <v>126</v>
      </c>
      <c r="B263" t="s">
        <v>81</v>
      </c>
      <c r="C263" s="1">
        <v>150</v>
      </c>
      <c r="D263" t="s">
        <v>19</v>
      </c>
      <c r="E263" t="s">
        <v>89</v>
      </c>
      <c r="F263" t="s">
        <v>13</v>
      </c>
      <c r="G263" s="2">
        <v>0.145</v>
      </c>
      <c r="H263" s="3">
        <f>IF(OR(NOT(ISNUMBER($C263)),NOT(ISNUMBER($G263))),"",$C263*$G263)</f>
        <v>21.75</v>
      </c>
      <c r="I263" t="s">
        <v>14</v>
      </c>
    </row>
    <row r="264" spans="1:9" x14ac:dyDescent="0.25">
      <c r="A264" t="s">
        <v>126</v>
      </c>
      <c r="B264" t="s">
        <v>87</v>
      </c>
      <c r="C264" s="1">
        <v>4</v>
      </c>
      <c r="D264" t="s">
        <v>11</v>
      </c>
      <c r="E264" t="s">
        <v>89</v>
      </c>
      <c r="F264" t="s">
        <v>13</v>
      </c>
      <c r="G264" s="2">
        <v>11.738</v>
      </c>
      <c r="H264" s="3">
        <f>IF(OR(NOT(ISNUMBER($C264)),NOT(ISNUMBER($G264))),"",$C264*$G264)</f>
        <v>46.952</v>
      </c>
      <c r="I264" t="s">
        <v>14</v>
      </c>
    </row>
    <row r="265" spans="1:9" x14ac:dyDescent="0.25">
      <c r="A265" t="s">
        <v>126</v>
      </c>
      <c r="B265" t="s">
        <v>34</v>
      </c>
      <c r="C265" s="1">
        <v>15</v>
      </c>
      <c r="D265" t="s">
        <v>19</v>
      </c>
      <c r="E265" t="s">
        <v>89</v>
      </c>
      <c r="F265" t="s">
        <v>13</v>
      </c>
      <c r="G265" s="2">
        <v>0.146</v>
      </c>
      <c r="H265" s="3">
        <f>IF(OR(NOT(ISNUMBER($C265)),NOT(ISNUMBER($G265))),"",$C265*$G265)</f>
        <v>2.19</v>
      </c>
      <c r="I265" t="s">
        <v>14</v>
      </c>
    </row>
    <row r="266" spans="1:9" x14ac:dyDescent="0.25">
      <c r="A266" t="s">
        <v>126</v>
      </c>
      <c r="B266" t="s">
        <v>24</v>
      </c>
      <c r="C266" s="1">
        <v>1</v>
      </c>
      <c r="D266" t="s">
        <v>16</v>
      </c>
      <c r="E266" t="s">
        <v>89</v>
      </c>
      <c r="F266" t="s">
        <v>13</v>
      </c>
      <c r="G266" s="2">
        <v>1.6429</v>
      </c>
      <c r="H266" s="3">
        <f>IF(OR(NOT(ISNUMBER($C266)),NOT(ISNUMBER($G266))),"",$C266*$G266)</f>
        <v>1.6429</v>
      </c>
      <c r="I266" t="s">
        <v>14</v>
      </c>
    </row>
    <row r="267" spans="1:9" x14ac:dyDescent="0.25">
      <c r="A267" t="s">
        <v>128</v>
      </c>
      <c r="B267" t="s">
        <v>22</v>
      </c>
      <c r="C267" s="1">
        <v>1</v>
      </c>
      <c r="D267" t="s">
        <v>16</v>
      </c>
      <c r="E267" t="s">
        <v>70</v>
      </c>
      <c r="F267" t="s">
        <v>13</v>
      </c>
      <c r="G267" s="2">
        <v>3.64</v>
      </c>
      <c r="H267" s="3">
        <f>IF(OR(NOT(ISNUMBER($C267)),NOT(ISNUMBER($G267))),"",$C267*$G267)</f>
        <v>3.64</v>
      </c>
      <c r="I267" t="s">
        <v>14</v>
      </c>
    </row>
    <row r="268" spans="1:9" x14ac:dyDescent="0.25">
      <c r="A268" t="s">
        <v>128</v>
      </c>
      <c r="B268" t="s">
        <v>27</v>
      </c>
      <c r="C268" s="1">
        <v>150</v>
      </c>
      <c r="D268" t="s">
        <v>19</v>
      </c>
      <c r="E268" t="s">
        <v>70</v>
      </c>
      <c r="F268" t="s">
        <v>13</v>
      </c>
      <c r="G268" s="2">
        <v>0.09</v>
      </c>
      <c r="H268" s="3">
        <f>IF(OR(NOT(ISNUMBER($C268)),NOT(ISNUMBER($G268))),"",$C268*$G268)</f>
        <v>13.5</v>
      </c>
      <c r="I268" t="s">
        <v>14</v>
      </c>
    </row>
    <row r="269" spans="1:9" x14ac:dyDescent="0.25">
      <c r="A269" t="s">
        <v>128</v>
      </c>
      <c r="B269" t="s">
        <v>23</v>
      </c>
      <c r="C269" s="1">
        <v>300</v>
      </c>
      <c r="D269" t="s">
        <v>11</v>
      </c>
      <c r="E269" t="s">
        <v>70</v>
      </c>
      <c r="F269" t="s">
        <v>13</v>
      </c>
      <c r="G269" s="2">
        <v>0.0015</v>
      </c>
      <c r="H269" s="3">
        <f>IF(OR(NOT(ISNUMBER($C269)),NOT(ISNUMBER($G269))),"",$C269*$G269)</f>
        <v>0.45</v>
      </c>
      <c r="I269" t="s">
        <v>14</v>
      </c>
    </row>
    <row r="270" spans="1:9" x14ac:dyDescent="0.25">
      <c r="A270" t="s">
        <v>128</v>
      </c>
      <c r="B270" t="s">
        <v>129</v>
      </c>
      <c r="C270" s="1">
        <v>35</v>
      </c>
      <c r="D270" t="s">
        <v>11</v>
      </c>
      <c r="E270" t="s">
        <v>70</v>
      </c>
      <c r="F270" t="s">
        <v>13</v>
      </c>
      <c r="G270" s="2">
        <v>0.3167</v>
      </c>
      <c r="H270" s="3">
        <f>IF(OR(NOT(ISNUMBER($C270)),NOT(ISNUMBER($G270))),"",$C270*$G270)</f>
        <v>11.0845</v>
      </c>
      <c r="I270" t="s">
        <v>14</v>
      </c>
    </row>
    <row r="271" spans="1:9" x14ac:dyDescent="0.25">
      <c r="A271" t="s">
        <v>128</v>
      </c>
      <c r="B271" t="s">
        <v>34</v>
      </c>
      <c r="C271" s="1">
        <v>15</v>
      </c>
      <c r="D271" t="s">
        <v>19</v>
      </c>
      <c r="E271" t="s">
        <v>70</v>
      </c>
      <c r="F271" t="s">
        <v>13</v>
      </c>
      <c r="G271" s="2">
        <v>0.146</v>
      </c>
      <c r="H271" s="3">
        <f>IF(OR(NOT(ISNUMBER($C271)),NOT(ISNUMBER($G271))),"",$C271*$G271)</f>
        <v>2.19</v>
      </c>
      <c r="I271" t="s">
        <v>14</v>
      </c>
    </row>
    <row r="272" spans="1:9" x14ac:dyDescent="0.25">
      <c r="A272" t="s">
        <v>128</v>
      </c>
      <c r="B272" t="s">
        <v>24</v>
      </c>
      <c r="C272" s="1">
        <v>1</v>
      </c>
      <c r="D272" t="s">
        <v>16</v>
      </c>
      <c r="E272" t="s">
        <v>70</v>
      </c>
      <c r="F272" t="s">
        <v>13</v>
      </c>
      <c r="G272" s="2">
        <v>1.6429</v>
      </c>
      <c r="H272" s="3">
        <f>IF(OR(NOT(ISNUMBER($C272)),NOT(ISNUMBER($G272))),"",$C272*$G272)</f>
        <v>1.6429</v>
      </c>
      <c r="I272" t="s">
        <v>14</v>
      </c>
    </row>
    <row r="273" spans="1:9" x14ac:dyDescent="0.25">
      <c r="A273" t="s">
        <v>128</v>
      </c>
      <c r="B273" t="s">
        <v>18</v>
      </c>
      <c r="C273" s="1">
        <v>15</v>
      </c>
      <c r="D273" t="s">
        <v>19</v>
      </c>
      <c r="E273" t="s">
        <v>70</v>
      </c>
      <c r="F273" t="s">
        <v>13</v>
      </c>
      <c r="G273" s="2">
        <v>0.002</v>
      </c>
      <c r="H273" s="3">
        <f>IF(OR(NOT(ISNUMBER($C273)),NOT(ISNUMBER($G273))),"",$C273*$G273)</f>
        <v>0.03</v>
      </c>
      <c r="I273" t="s">
        <v>14</v>
      </c>
    </row>
    <row r="274" spans="1:9" x14ac:dyDescent="0.25">
      <c r="A274" t="s">
        <v>128</v>
      </c>
      <c r="B274" t="s">
        <v>29</v>
      </c>
      <c r="C274" s="1">
        <v>30</v>
      </c>
      <c r="D274" t="s">
        <v>19</v>
      </c>
      <c r="E274" t="s">
        <v>70</v>
      </c>
      <c r="F274" t="s">
        <v>13</v>
      </c>
      <c r="G274" s="2">
        <v>0.0806</v>
      </c>
      <c r="H274" s="3">
        <f>IF(OR(NOT(ISNUMBER($C274)),NOT(ISNUMBER($G274))),"",$C274*$G274)</f>
        <v>2.418</v>
      </c>
      <c r="I274" t="s">
        <v>14</v>
      </c>
    </row>
    <row r="275" spans="1:9" x14ac:dyDescent="0.25">
      <c r="A275" t="s">
        <v>130</v>
      </c>
      <c r="B275" t="s">
        <v>22</v>
      </c>
      <c r="C275" s="1">
        <v>1</v>
      </c>
      <c r="D275" t="s">
        <v>16</v>
      </c>
      <c r="E275" t="s">
        <v>36</v>
      </c>
      <c r="F275" t="s">
        <v>13</v>
      </c>
      <c r="G275" s="2">
        <v>3.64</v>
      </c>
      <c r="H275" s="3">
        <f>IF(OR(NOT(ISNUMBER($C275)),NOT(ISNUMBER($G275))),"",$C275*$G275)</f>
        <v>3.64</v>
      </c>
      <c r="I275" t="s">
        <v>14</v>
      </c>
    </row>
    <row r="276" spans="1:9" x14ac:dyDescent="0.25">
      <c r="A276" t="s">
        <v>130</v>
      </c>
      <c r="B276" t="s">
        <v>38</v>
      </c>
      <c r="C276" s="1">
        <v>1</v>
      </c>
      <c r="D276" t="s">
        <v>16</v>
      </c>
      <c r="E276" t="s">
        <v>36</v>
      </c>
      <c r="F276" t="s">
        <v>13</v>
      </c>
      <c r="G276" s="2">
        <v>1.86</v>
      </c>
      <c r="H276" s="3">
        <f>IF(OR(NOT(ISNUMBER($C276)),NOT(ISNUMBER($G276))),"",$C276*$G276)</f>
        <v>1.86</v>
      </c>
      <c r="I276" t="s">
        <v>14</v>
      </c>
    </row>
    <row r="277" spans="1:9" x14ac:dyDescent="0.25">
      <c r="A277" t="s">
        <v>130</v>
      </c>
      <c r="B277" t="s">
        <v>27</v>
      </c>
      <c r="C277" s="1">
        <v>100</v>
      </c>
      <c r="D277" t="s">
        <v>19</v>
      </c>
      <c r="E277" t="s">
        <v>36</v>
      </c>
      <c r="F277" t="s">
        <v>13</v>
      </c>
      <c r="G277" s="2">
        <v>0.09</v>
      </c>
      <c r="H277" s="3">
        <f>IF(OR(NOT(ISNUMBER($C277)),NOT(ISNUMBER($G277))),"",$C277*$G277)</f>
        <v>9</v>
      </c>
      <c r="I277" t="s">
        <v>14</v>
      </c>
    </row>
    <row r="278" spans="1:9" x14ac:dyDescent="0.25">
      <c r="A278" t="s">
        <v>130</v>
      </c>
      <c r="B278" t="s">
        <v>39</v>
      </c>
      <c r="C278" s="1">
        <v>30</v>
      </c>
      <c r="D278" t="s">
        <v>11</v>
      </c>
      <c r="E278" t="s">
        <v>36</v>
      </c>
      <c r="F278" t="s">
        <v>13</v>
      </c>
      <c r="G278" s="2">
        <v>0.7253</v>
      </c>
      <c r="H278" s="3">
        <f>IF(OR(NOT(ISNUMBER($C278)),NOT(ISNUMBER($G278))),"",$C278*$G278)</f>
        <v>21.759</v>
      </c>
      <c r="I278" t="s">
        <v>14</v>
      </c>
    </row>
    <row r="279" spans="1:9" x14ac:dyDescent="0.25">
      <c r="A279" t="s">
        <v>130</v>
      </c>
      <c r="B279" t="s">
        <v>23</v>
      </c>
      <c r="C279" s="1">
        <v>300</v>
      </c>
      <c r="D279" t="s">
        <v>11</v>
      </c>
      <c r="E279" t="s">
        <v>36</v>
      </c>
      <c r="F279" t="s">
        <v>13</v>
      </c>
      <c r="G279" s="2">
        <v>0.0015</v>
      </c>
      <c r="H279" s="3">
        <f>IF(OR(NOT(ISNUMBER($C279)),NOT(ISNUMBER($G279))),"",$C279*$G279)</f>
        <v>0.45</v>
      </c>
      <c r="I279" t="s">
        <v>14</v>
      </c>
    </row>
    <row r="280" spans="1:9" x14ac:dyDescent="0.25">
      <c r="A280" t="s">
        <v>130</v>
      </c>
      <c r="B280" t="s">
        <v>131</v>
      </c>
      <c r="C280" s="1">
        <v>5</v>
      </c>
      <c r="D280" t="s">
        <v>16</v>
      </c>
      <c r="E280" t="s">
        <v>36</v>
      </c>
      <c r="F280" t="s">
        <v>13</v>
      </c>
      <c r="G280" s="2">
        <v>4.2</v>
      </c>
      <c r="H280" s="3">
        <f>IF(OR(NOT(ISNUMBER($C280)),NOT(ISNUMBER($G280))),"",$C280*$G280)</f>
        <v>21</v>
      </c>
      <c r="I280" t="s">
        <v>14</v>
      </c>
    </row>
    <row r="281" spans="1:9" x14ac:dyDescent="0.25">
      <c r="A281" t="s">
        <v>130</v>
      </c>
      <c r="B281" t="s">
        <v>40</v>
      </c>
      <c r="C281" s="1">
        <v>15</v>
      </c>
      <c r="D281" t="s">
        <v>11</v>
      </c>
      <c r="E281" t="s">
        <v>36</v>
      </c>
      <c r="F281" t="s">
        <v>13</v>
      </c>
      <c r="G281" s="2">
        <v>0.27</v>
      </c>
      <c r="H281" s="3">
        <f>IF(OR(NOT(ISNUMBER($C281)),NOT(ISNUMBER($G281))),"",$C281*$G281)</f>
        <v>4.05</v>
      </c>
      <c r="I281" t="s">
        <v>14</v>
      </c>
    </row>
    <row r="282" spans="1:9" x14ac:dyDescent="0.25">
      <c r="A282" t="s">
        <v>132</v>
      </c>
      <c r="B282" t="s">
        <v>22</v>
      </c>
      <c r="C282" s="1">
        <v>1</v>
      </c>
      <c r="D282" t="s">
        <v>16</v>
      </c>
      <c r="E282" t="s">
        <v>26</v>
      </c>
      <c r="F282" t="s">
        <v>13</v>
      </c>
      <c r="G282" s="2">
        <v>3.64</v>
      </c>
      <c r="H282" s="3">
        <f>IF(OR(NOT(ISNUMBER($C282)),NOT(ISNUMBER($G282))),"",$C282*$G282)</f>
        <v>3.64</v>
      </c>
      <c r="I282" t="s">
        <v>14</v>
      </c>
    </row>
    <row r="283" spans="1:9" x14ac:dyDescent="0.25">
      <c r="A283" t="s">
        <v>132</v>
      </c>
      <c r="B283" t="s">
        <v>27</v>
      </c>
      <c r="C283" s="1">
        <v>150</v>
      </c>
      <c r="D283" t="s">
        <v>19</v>
      </c>
      <c r="E283" t="s">
        <v>26</v>
      </c>
      <c r="F283" t="s">
        <v>13</v>
      </c>
      <c r="G283" s="2">
        <v>0.09</v>
      </c>
      <c r="H283" s="3">
        <f>IF(OR(NOT(ISNUMBER($C283)),NOT(ISNUMBER($G283))),"",$C283*$G283)</f>
        <v>13.5</v>
      </c>
      <c r="I283" t="s">
        <v>14</v>
      </c>
    </row>
    <row r="284" spans="1:9" x14ac:dyDescent="0.25">
      <c r="A284" t="s">
        <v>132</v>
      </c>
      <c r="B284" t="s">
        <v>23</v>
      </c>
      <c r="C284" s="1">
        <v>225</v>
      </c>
      <c r="D284" t="s">
        <v>11</v>
      </c>
      <c r="E284" t="s">
        <v>26</v>
      </c>
      <c r="F284" t="s">
        <v>13</v>
      </c>
      <c r="G284" s="2">
        <v>0.0015</v>
      </c>
      <c r="H284" s="3">
        <f>IF(OR(NOT(ISNUMBER($C284)),NOT(ISNUMBER($G284))),"",$C284*$G284)</f>
        <v>0.3375</v>
      </c>
      <c r="I284" t="s">
        <v>14</v>
      </c>
    </row>
    <row r="285" spans="1:9" x14ac:dyDescent="0.25">
      <c r="A285" t="s">
        <v>132</v>
      </c>
      <c r="B285" t="s">
        <v>131</v>
      </c>
      <c r="C285" s="1">
        <v>5</v>
      </c>
      <c r="D285" t="s">
        <v>16</v>
      </c>
      <c r="E285" t="s">
        <v>26</v>
      </c>
      <c r="F285" t="s">
        <v>13</v>
      </c>
      <c r="G285" s="2">
        <v>4.2</v>
      </c>
      <c r="H285" s="3">
        <f>IF(OR(NOT(ISNUMBER($C285)),NOT(ISNUMBER($G285))),"",$C285*$G285)</f>
        <v>21</v>
      </c>
      <c r="I285" t="s">
        <v>14</v>
      </c>
    </row>
    <row r="286" spans="1:9" x14ac:dyDescent="0.25">
      <c r="A286" t="s">
        <v>132</v>
      </c>
      <c r="B286" t="s">
        <v>34</v>
      </c>
      <c r="C286" s="1">
        <v>15</v>
      </c>
      <c r="D286" t="s">
        <v>19</v>
      </c>
      <c r="E286" t="s">
        <v>26</v>
      </c>
      <c r="F286" t="s">
        <v>13</v>
      </c>
      <c r="G286" s="2">
        <v>0.146</v>
      </c>
      <c r="H286" s="3">
        <f>IF(OR(NOT(ISNUMBER($C286)),NOT(ISNUMBER($G286))),"",$C286*$G286)</f>
        <v>2.19</v>
      </c>
      <c r="I286" t="s">
        <v>14</v>
      </c>
    </row>
    <row r="287" spans="1:9" x14ac:dyDescent="0.25">
      <c r="A287" t="s">
        <v>132</v>
      </c>
      <c r="B287" t="s">
        <v>24</v>
      </c>
      <c r="C287" s="1">
        <v>1</v>
      </c>
      <c r="D287" t="s">
        <v>16</v>
      </c>
      <c r="E287" t="s">
        <v>26</v>
      </c>
      <c r="F287" t="s">
        <v>13</v>
      </c>
      <c r="G287" s="2">
        <v>1.6429</v>
      </c>
      <c r="H287" s="3">
        <f>IF(OR(NOT(ISNUMBER($C287)),NOT(ISNUMBER($G287))),"",$C287*$G287)</f>
        <v>1.6429</v>
      </c>
      <c r="I287" t="s">
        <v>14</v>
      </c>
    </row>
    <row r="288" spans="1:9" x14ac:dyDescent="0.25">
      <c r="A288" t="s">
        <v>132</v>
      </c>
      <c r="B288" t="s">
        <v>29</v>
      </c>
      <c r="C288" s="1">
        <v>30</v>
      </c>
      <c r="D288" t="s">
        <v>19</v>
      </c>
      <c r="E288" t="s">
        <v>26</v>
      </c>
      <c r="F288" t="s">
        <v>13</v>
      </c>
      <c r="G288" s="2">
        <v>0.0806</v>
      </c>
      <c r="H288" s="3">
        <f>IF(OR(NOT(ISNUMBER($C288)),NOT(ISNUMBER($G288))),"",$C288*$G288)</f>
        <v>2.418</v>
      </c>
      <c r="I288" t="s">
        <v>14</v>
      </c>
    </row>
    <row r="289" spans="1:9" x14ac:dyDescent="0.25">
      <c r="A289" t="s">
        <v>132</v>
      </c>
      <c r="B289" t="s">
        <v>30</v>
      </c>
      <c r="C289" s="1">
        <v>40</v>
      </c>
      <c r="D289" t="s">
        <v>19</v>
      </c>
      <c r="E289" t="s">
        <v>26</v>
      </c>
      <c r="F289" t="s">
        <v>13</v>
      </c>
      <c r="G289" s="2">
        <v>0.34</v>
      </c>
      <c r="H289" s="3">
        <f>IF(OR(NOT(ISNUMBER($C289)),NOT(ISNUMBER($G289))),"",$C289*$G289)</f>
        <v>13.6</v>
      </c>
      <c r="I289" t="s">
        <v>14</v>
      </c>
    </row>
    <row r="290" spans="1:9" x14ac:dyDescent="0.25">
      <c r="A290" t="s">
        <v>133</v>
      </c>
      <c r="B290" t="s">
        <v>22</v>
      </c>
      <c r="C290" s="1">
        <v>1</v>
      </c>
      <c r="D290" t="s">
        <v>16</v>
      </c>
      <c r="E290" t="s">
        <v>45</v>
      </c>
      <c r="F290" t="s">
        <v>13</v>
      </c>
      <c r="G290" s="2">
        <v>3.64</v>
      </c>
      <c r="H290" s="3">
        <f>IF(OR(NOT(ISNUMBER($C290)),NOT(ISNUMBER($G290))),"",$C290*$G290)</f>
        <v>3.64</v>
      </c>
      <c r="I290" t="s">
        <v>14</v>
      </c>
    </row>
    <row r="291" spans="1:9" x14ac:dyDescent="0.25">
      <c r="A291" t="s">
        <v>133</v>
      </c>
      <c r="B291" t="s">
        <v>46</v>
      </c>
      <c r="C291" s="1">
        <v>0.5</v>
      </c>
      <c r="D291" t="s">
        <v>11</v>
      </c>
      <c r="E291" t="s">
        <v>45</v>
      </c>
      <c r="F291" t="s">
        <v>13</v>
      </c>
      <c r="G291" s="2">
        <v>0.749</v>
      </c>
      <c r="H291" s="3">
        <f>IF(OR(NOT(ISNUMBER($C291)),NOT(ISNUMBER($G291))),"",$C291*$G291)</f>
        <v>0.3745</v>
      </c>
      <c r="I291" t="s">
        <v>14</v>
      </c>
    </row>
    <row r="292" spans="1:9" x14ac:dyDescent="0.25">
      <c r="A292" t="s">
        <v>133</v>
      </c>
      <c r="B292" t="s">
        <v>23</v>
      </c>
      <c r="C292" s="1">
        <v>300</v>
      </c>
      <c r="D292" t="s">
        <v>11</v>
      </c>
      <c r="E292" t="s">
        <v>45</v>
      </c>
      <c r="F292" t="s">
        <v>13</v>
      </c>
      <c r="G292" s="2">
        <v>0.0015</v>
      </c>
      <c r="H292" s="3">
        <f>IF(OR(NOT(ISNUMBER($C292)),NOT(ISNUMBER($G292))),"",$C292*$G292)</f>
        <v>0.45</v>
      </c>
      <c r="I292" t="s">
        <v>14</v>
      </c>
    </row>
    <row r="293" spans="1:9" x14ac:dyDescent="0.25">
      <c r="A293" t="s">
        <v>133</v>
      </c>
      <c r="B293" t="s">
        <v>28</v>
      </c>
      <c r="C293" s="1">
        <v>25</v>
      </c>
      <c r="D293" t="s">
        <v>19</v>
      </c>
      <c r="E293" t="s">
        <v>45</v>
      </c>
      <c r="F293" t="s">
        <v>13</v>
      </c>
      <c r="G293" s="2">
        <v>0.67</v>
      </c>
      <c r="H293" s="3">
        <f>IF(OR(NOT(ISNUMBER($C293)),NOT(ISNUMBER($G293))),"",$C293*$G293)</f>
        <v>16.75</v>
      </c>
      <c r="I293" t="s">
        <v>14</v>
      </c>
    </row>
    <row r="294" spans="1:9" x14ac:dyDescent="0.25">
      <c r="A294" t="s">
        <v>133</v>
      </c>
      <c r="B294" t="s">
        <v>134</v>
      </c>
      <c r="C294" s="1">
        <v>25</v>
      </c>
      <c r="D294" t="s">
        <v>19</v>
      </c>
      <c r="E294" t="s">
        <v>45</v>
      </c>
      <c r="F294" t="s">
        <v>13</v>
      </c>
      <c r="G294" s="2">
        <v>0.345</v>
      </c>
      <c r="H294" s="3">
        <f>IF(OR(NOT(ISNUMBER($C294)),NOT(ISNUMBER($G294))),"",$C294*$G294)</f>
        <v>8.625</v>
      </c>
      <c r="I294" t="s">
        <v>14</v>
      </c>
    </row>
    <row r="295" spans="1:9" x14ac:dyDescent="0.25">
      <c r="A295" t="s">
        <v>133</v>
      </c>
      <c r="B295" t="s">
        <v>47</v>
      </c>
      <c r="C295" s="1">
        <v>15</v>
      </c>
      <c r="D295" t="s">
        <v>11</v>
      </c>
      <c r="E295" t="s">
        <v>45</v>
      </c>
      <c r="F295" t="s">
        <v>13</v>
      </c>
      <c r="G295" s="2">
        <v>0.29</v>
      </c>
      <c r="H295" s="3">
        <f>IF(OR(NOT(ISNUMBER($C295)),NOT(ISNUMBER($G295))),"",$C295*$G295)</f>
        <v>4.35</v>
      </c>
      <c r="I295" t="s">
        <v>14</v>
      </c>
    </row>
    <row r="296" spans="1:9" x14ac:dyDescent="0.25">
      <c r="A296" t="s">
        <v>133</v>
      </c>
      <c r="B296" t="s">
        <v>48</v>
      </c>
      <c r="C296" s="1">
        <v>200</v>
      </c>
      <c r="D296" t="s">
        <v>19</v>
      </c>
      <c r="E296" t="s">
        <v>45</v>
      </c>
      <c r="F296" t="s">
        <v>13</v>
      </c>
      <c r="G296" s="2">
        <v>0.0467</v>
      </c>
      <c r="H296" s="3">
        <f>IF(OR(NOT(ISNUMBER($C296)),NOT(ISNUMBER($G296))),"",$C296*$G296)</f>
        <v>9.34</v>
      </c>
      <c r="I296" t="s">
        <v>14</v>
      </c>
    </row>
    <row r="297" spans="1:9" x14ac:dyDescent="0.25">
      <c r="A297" t="s">
        <v>133</v>
      </c>
      <c r="B297" t="s">
        <v>24</v>
      </c>
      <c r="C297" s="1">
        <v>1</v>
      </c>
      <c r="D297" t="s">
        <v>16</v>
      </c>
      <c r="E297" t="s">
        <v>45</v>
      </c>
      <c r="F297" t="s">
        <v>13</v>
      </c>
      <c r="G297" s="2">
        <v>1.6429</v>
      </c>
      <c r="H297" s="3">
        <f>IF(OR(NOT(ISNUMBER($C297)),NOT(ISNUMBER($G297))),"",$C297*$G297)</f>
        <v>1.6429</v>
      </c>
      <c r="I297" t="s">
        <v>14</v>
      </c>
    </row>
    <row r="298" spans="1:9" x14ac:dyDescent="0.25">
      <c r="A298" t="s">
        <v>135</v>
      </c>
      <c r="B298" t="s">
        <v>22</v>
      </c>
      <c r="C298" s="1">
        <v>1</v>
      </c>
      <c r="D298" t="s">
        <v>16</v>
      </c>
      <c r="E298" t="s">
        <v>26</v>
      </c>
      <c r="F298" t="s">
        <v>13</v>
      </c>
      <c r="G298" s="2">
        <v>3.64</v>
      </c>
      <c r="H298" s="3">
        <f>IF(OR(NOT(ISNUMBER($C298)),NOT(ISNUMBER($G298))),"",$C298*$G298)</f>
        <v>3.64</v>
      </c>
      <c r="I298" t="s">
        <v>14</v>
      </c>
    </row>
    <row r="299" spans="1:9" x14ac:dyDescent="0.25">
      <c r="A299" t="s">
        <v>135</v>
      </c>
      <c r="B299" t="s">
        <v>27</v>
      </c>
      <c r="C299" s="1">
        <v>150</v>
      </c>
      <c r="D299" t="s">
        <v>19</v>
      </c>
      <c r="E299" t="s">
        <v>26</v>
      </c>
      <c r="F299" t="s">
        <v>13</v>
      </c>
      <c r="G299" s="2">
        <v>0.09</v>
      </c>
      <c r="H299" s="3">
        <f>IF(OR(NOT(ISNUMBER($C299)),NOT(ISNUMBER($G299))),"",$C299*$G299)</f>
        <v>13.5</v>
      </c>
      <c r="I299" t="s">
        <v>14</v>
      </c>
    </row>
    <row r="300" spans="1:9" x14ac:dyDescent="0.25">
      <c r="A300" t="s">
        <v>135</v>
      </c>
      <c r="B300" t="s">
        <v>23</v>
      </c>
      <c r="C300" s="1">
        <v>225</v>
      </c>
      <c r="D300" t="s">
        <v>11</v>
      </c>
      <c r="E300" t="s">
        <v>26</v>
      </c>
      <c r="F300" t="s">
        <v>13</v>
      </c>
      <c r="G300" s="2">
        <v>0.0015</v>
      </c>
      <c r="H300" s="3">
        <f>IF(OR(NOT(ISNUMBER($C300)),NOT(ISNUMBER($G300))),"",$C300*$G300)</f>
        <v>0.3375</v>
      </c>
      <c r="I300" t="s">
        <v>14</v>
      </c>
    </row>
    <row r="301" spans="1:9" x14ac:dyDescent="0.25">
      <c r="A301" t="s">
        <v>135</v>
      </c>
      <c r="B301" t="s">
        <v>136</v>
      </c>
      <c r="C301" s="1">
        <v>35</v>
      </c>
      <c r="D301" t="s">
        <v>11</v>
      </c>
      <c r="E301" t="s">
        <v>26</v>
      </c>
      <c r="F301" t="s">
        <v>13</v>
      </c>
      <c r="G301" s="2">
        <v>0.3965</v>
      </c>
      <c r="H301" s="3">
        <f>IF(OR(NOT(ISNUMBER($C301)),NOT(ISNUMBER($G301))),"",$C301*$G301)</f>
        <v>13.8775</v>
      </c>
      <c r="I301" t="s">
        <v>14</v>
      </c>
    </row>
    <row r="302" spans="1:9" x14ac:dyDescent="0.25">
      <c r="A302" t="s">
        <v>135</v>
      </c>
      <c r="B302" t="s">
        <v>34</v>
      </c>
      <c r="C302" s="1">
        <v>15</v>
      </c>
      <c r="D302" t="s">
        <v>19</v>
      </c>
      <c r="E302" t="s">
        <v>26</v>
      </c>
      <c r="F302" t="s">
        <v>13</v>
      </c>
      <c r="G302" s="2">
        <v>0.146</v>
      </c>
      <c r="H302" s="3">
        <f>IF(OR(NOT(ISNUMBER($C302)),NOT(ISNUMBER($G302))),"",$C302*$G302)</f>
        <v>2.19</v>
      </c>
      <c r="I302" t="s">
        <v>14</v>
      </c>
    </row>
    <row r="303" spans="1:9" x14ac:dyDescent="0.25">
      <c r="A303" t="s">
        <v>135</v>
      </c>
      <c r="B303" t="s">
        <v>24</v>
      </c>
      <c r="C303" s="1">
        <v>1</v>
      </c>
      <c r="D303" t="s">
        <v>16</v>
      </c>
      <c r="E303" t="s">
        <v>26</v>
      </c>
      <c r="F303" t="s">
        <v>13</v>
      </c>
      <c r="G303" s="2">
        <v>1.6429</v>
      </c>
      <c r="H303" s="3">
        <f>IF(OR(NOT(ISNUMBER($C303)),NOT(ISNUMBER($G303))),"",$C303*$G303)</f>
        <v>1.6429</v>
      </c>
      <c r="I303" t="s">
        <v>14</v>
      </c>
    </row>
    <row r="304" spans="1:9" x14ac:dyDescent="0.25">
      <c r="A304" t="s">
        <v>135</v>
      </c>
      <c r="B304" t="s">
        <v>29</v>
      </c>
      <c r="C304" s="1">
        <v>30</v>
      </c>
      <c r="D304" t="s">
        <v>19</v>
      </c>
      <c r="E304" t="s">
        <v>26</v>
      </c>
      <c r="F304" t="s">
        <v>13</v>
      </c>
      <c r="G304" s="2">
        <v>0.0806</v>
      </c>
      <c r="H304" s="3">
        <f>IF(OR(NOT(ISNUMBER($C304)),NOT(ISNUMBER($G304))),"",$C304*$G304)</f>
        <v>2.418</v>
      </c>
      <c r="I304" t="s">
        <v>14</v>
      </c>
    </row>
    <row r="305" spans="1:9" x14ac:dyDescent="0.25">
      <c r="A305" t="s">
        <v>135</v>
      </c>
      <c r="B305" t="s">
        <v>30</v>
      </c>
      <c r="C305" s="1">
        <v>40</v>
      </c>
      <c r="D305" t="s">
        <v>19</v>
      </c>
      <c r="E305" t="s">
        <v>26</v>
      </c>
      <c r="F305" t="s">
        <v>13</v>
      </c>
      <c r="G305" s="2">
        <v>0.34</v>
      </c>
      <c r="H305" s="3">
        <f>IF(OR(NOT(ISNUMBER($C305)),NOT(ISNUMBER($G305))),"",$C305*$G305)</f>
        <v>13.6</v>
      </c>
      <c r="I305" t="s">
        <v>14</v>
      </c>
    </row>
    <row r="306" spans="1:9" x14ac:dyDescent="0.25">
      <c r="A306" t="s">
        <v>137</v>
      </c>
      <c r="B306" t="s">
        <v>22</v>
      </c>
      <c r="C306" s="1">
        <v>1</v>
      </c>
      <c r="D306" t="s">
        <v>16</v>
      </c>
      <c r="E306" t="s">
        <v>36</v>
      </c>
      <c r="F306" t="s">
        <v>13</v>
      </c>
      <c r="G306" s="2">
        <v>3.64</v>
      </c>
      <c r="H306" s="3">
        <f>IF(OR(NOT(ISNUMBER($C306)),NOT(ISNUMBER($G306))),"",$C306*$G306)</f>
        <v>3.64</v>
      </c>
      <c r="I306" t="s">
        <v>14</v>
      </c>
    </row>
    <row r="307" spans="1:9" x14ac:dyDescent="0.25">
      <c r="A307" t="s">
        <v>137</v>
      </c>
      <c r="B307" t="s">
        <v>68</v>
      </c>
      <c r="C307" s="1">
        <v>40</v>
      </c>
      <c r="D307" t="s">
        <v>19</v>
      </c>
      <c r="E307" t="s">
        <v>36</v>
      </c>
      <c r="F307" t="s">
        <v>13</v>
      </c>
      <c r="G307" s="2">
        <v>0.6085</v>
      </c>
      <c r="H307" s="3">
        <f>IF(OR(NOT(ISNUMBER($C307)),NOT(ISNUMBER($G307))),"",$C307*$G307)</f>
        <v>24.34</v>
      </c>
      <c r="I307" t="s">
        <v>14</v>
      </c>
    </row>
    <row r="308" spans="1:9" x14ac:dyDescent="0.25">
      <c r="A308" t="s">
        <v>137</v>
      </c>
      <c r="B308" t="s">
        <v>38</v>
      </c>
      <c r="C308" s="1">
        <v>1</v>
      </c>
      <c r="D308" t="s">
        <v>16</v>
      </c>
      <c r="E308" t="s">
        <v>36</v>
      </c>
      <c r="F308" t="s">
        <v>13</v>
      </c>
      <c r="G308" s="2">
        <v>1.86</v>
      </c>
      <c r="H308" s="3">
        <f>IF(OR(NOT(ISNUMBER($C308)),NOT(ISNUMBER($G308))),"",$C308*$G308)</f>
        <v>1.86</v>
      </c>
      <c r="I308" t="s">
        <v>14</v>
      </c>
    </row>
    <row r="309" spans="1:9" x14ac:dyDescent="0.25">
      <c r="A309" t="s">
        <v>137</v>
      </c>
      <c r="B309" t="s">
        <v>27</v>
      </c>
      <c r="C309" s="1">
        <v>100</v>
      </c>
      <c r="D309" t="s">
        <v>19</v>
      </c>
      <c r="E309" t="s">
        <v>36</v>
      </c>
      <c r="F309" t="s">
        <v>13</v>
      </c>
      <c r="G309" s="2">
        <v>0.09</v>
      </c>
      <c r="H309" s="3">
        <f>IF(OR(NOT(ISNUMBER($C309)),NOT(ISNUMBER($G309))),"",$C309*$G309)</f>
        <v>9</v>
      </c>
      <c r="I309" t="s">
        <v>14</v>
      </c>
    </row>
    <row r="310" spans="1:9" x14ac:dyDescent="0.25">
      <c r="A310" t="s">
        <v>137</v>
      </c>
      <c r="B310" t="s">
        <v>39</v>
      </c>
      <c r="C310" s="1">
        <v>30</v>
      </c>
      <c r="D310" t="s">
        <v>11</v>
      </c>
      <c r="E310" t="s">
        <v>36</v>
      </c>
      <c r="F310" t="s">
        <v>13</v>
      </c>
      <c r="G310" s="2">
        <v>0.7253</v>
      </c>
      <c r="H310" s="3">
        <f>IF(OR(NOT(ISNUMBER($C310)),NOT(ISNUMBER($G310))),"",$C310*$G310)</f>
        <v>21.759</v>
      </c>
      <c r="I310" t="s">
        <v>14</v>
      </c>
    </row>
    <row r="311" spans="1:9" x14ac:dyDescent="0.25">
      <c r="A311" t="s">
        <v>137</v>
      </c>
      <c r="B311" t="s">
        <v>23</v>
      </c>
      <c r="C311" s="1">
        <v>300</v>
      </c>
      <c r="D311" t="s">
        <v>11</v>
      </c>
      <c r="E311" t="s">
        <v>36</v>
      </c>
      <c r="F311" t="s">
        <v>13</v>
      </c>
      <c r="G311" s="2">
        <v>0.0015</v>
      </c>
      <c r="H311" s="3">
        <f>IF(OR(NOT(ISNUMBER($C311)),NOT(ISNUMBER($G311))),"",$C311*$G311)</f>
        <v>0.45</v>
      </c>
      <c r="I311" t="s">
        <v>14</v>
      </c>
    </row>
    <row r="312" spans="1:9" x14ac:dyDescent="0.25">
      <c r="A312" t="s">
        <v>137</v>
      </c>
      <c r="B312" t="s">
        <v>136</v>
      </c>
      <c r="C312" s="1">
        <v>30</v>
      </c>
      <c r="D312" t="s">
        <v>11</v>
      </c>
      <c r="E312" t="s">
        <v>36</v>
      </c>
      <c r="F312" t="s">
        <v>13</v>
      </c>
      <c r="G312" s="2">
        <v>0.3965</v>
      </c>
      <c r="H312" s="3">
        <f>IF(OR(NOT(ISNUMBER($C312)),NOT(ISNUMBER($G312))),"",$C312*$G312)</f>
        <v>11.895</v>
      </c>
      <c r="I312" t="s">
        <v>14</v>
      </c>
    </row>
    <row r="313" spans="1:9" x14ac:dyDescent="0.25">
      <c r="A313" t="s">
        <v>137</v>
      </c>
      <c r="B313" t="s">
        <v>40</v>
      </c>
      <c r="C313" s="1">
        <v>15</v>
      </c>
      <c r="D313" t="s">
        <v>11</v>
      </c>
      <c r="E313" t="s">
        <v>36</v>
      </c>
      <c r="F313" t="s">
        <v>13</v>
      </c>
      <c r="G313" s="2">
        <v>0.27</v>
      </c>
      <c r="H313" s="3">
        <f>IF(OR(NOT(ISNUMBER($C313)),NOT(ISNUMBER($G313))),"",$C313*$G313)</f>
        <v>4.05</v>
      </c>
      <c r="I313" t="s">
        <v>14</v>
      </c>
    </row>
    <row r="314" spans="1:9" x14ac:dyDescent="0.25">
      <c r="A314" t="s">
        <v>138</v>
      </c>
      <c r="B314" t="s">
        <v>22</v>
      </c>
      <c r="C314" s="1">
        <v>1</v>
      </c>
      <c r="D314" t="s">
        <v>16</v>
      </c>
      <c r="E314" t="s">
        <v>45</v>
      </c>
      <c r="F314" t="s">
        <v>13</v>
      </c>
      <c r="G314" s="2">
        <v>3.64</v>
      </c>
      <c r="H314" s="3">
        <f>IF(OR(NOT(ISNUMBER($C314)),NOT(ISNUMBER($G314))),"",$C314*$G314)</f>
        <v>3.64</v>
      </c>
      <c r="I314" t="s">
        <v>14</v>
      </c>
    </row>
    <row r="315" spans="1:9" x14ac:dyDescent="0.25">
      <c r="A315" t="s">
        <v>138</v>
      </c>
      <c r="B315" t="s">
        <v>46</v>
      </c>
      <c r="C315" s="1">
        <v>0.5</v>
      </c>
      <c r="D315" t="s">
        <v>11</v>
      </c>
      <c r="E315" t="s">
        <v>45</v>
      </c>
      <c r="F315" t="s">
        <v>13</v>
      </c>
      <c r="G315" s="2">
        <v>0.749</v>
      </c>
      <c r="H315" s="3">
        <f>IF(OR(NOT(ISNUMBER($C315)),NOT(ISNUMBER($G315))),"",$C315*$G315)</f>
        <v>0.3745</v>
      </c>
      <c r="I315" t="s">
        <v>14</v>
      </c>
    </row>
    <row r="316" spans="1:9" x14ac:dyDescent="0.25">
      <c r="A316" t="s">
        <v>138</v>
      </c>
      <c r="B316" t="s">
        <v>23</v>
      </c>
      <c r="C316" s="1">
        <v>300</v>
      </c>
      <c r="D316" t="s">
        <v>11</v>
      </c>
      <c r="E316" t="s">
        <v>45</v>
      </c>
      <c r="F316" t="s">
        <v>13</v>
      </c>
      <c r="G316" s="2">
        <v>0.0015</v>
      </c>
      <c r="H316" s="3">
        <f>IF(OR(NOT(ISNUMBER($C316)),NOT(ISNUMBER($G316))),"",$C316*$G316)</f>
        <v>0.45</v>
      </c>
      <c r="I316" t="s">
        <v>14</v>
      </c>
    </row>
    <row r="317" spans="1:9" x14ac:dyDescent="0.25">
      <c r="A317" t="s">
        <v>138</v>
      </c>
      <c r="B317" t="s">
        <v>47</v>
      </c>
      <c r="C317" s="1">
        <v>15</v>
      </c>
      <c r="D317" t="s">
        <v>11</v>
      </c>
      <c r="E317" t="s">
        <v>45</v>
      </c>
      <c r="F317" t="s">
        <v>13</v>
      </c>
      <c r="G317" s="2">
        <v>0.29</v>
      </c>
      <c r="H317" s="3">
        <f>IF(OR(NOT(ISNUMBER($C317)),NOT(ISNUMBER($G317))),"",$C317*$G317)</f>
        <v>4.35</v>
      </c>
      <c r="I317" t="s">
        <v>14</v>
      </c>
    </row>
    <row r="318" spans="1:9" x14ac:dyDescent="0.25">
      <c r="A318" t="s">
        <v>138</v>
      </c>
      <c r="B318" t="s">
        <v>139</v>
      </c>
      <c r="C318" s="1">
        <v>50</v>
      </c>
      <c r="D318" t="s">
        <v>11</v>
      </c>
      <c r="E318" t="s">
        <v>45</v>
      </c>
      <c r="F318" t="s">
        <v>13</v>
      </c>
      <c r="G318" s="2">
        <v>0.1433</v>
      </c>
      <c r="H318" s="3">
        <f>IF(OR(NOT(ISNUMBER($C318)),NOT(ISNUMBER($G318))),"",$C318*$G318)</f>
        <v>7.165</v>
      </c>
      <c r="I318" t="s">
        <v>14</v>
      </c>
    </row>
    <row r="319" spans="1:9" x14ac:dyDescent="0.25">
      <c r="A319" t="s">
        <v>138</v>
      </c>
      <c r="B319" t="s">
        <v>48</v>
      </c>
      <c r="C319" s="1">
        <v>200</v>
      </c>
      <c r="D319" t="s">
        <v>19</v>
      </c>
      <c r="E319" t="s">
        <v>45</v>
      </c>
      <c r="F319" t="s">
        <v>13</v>
      </c>
      <c r="G319" s="2">
        <v>0.0467</v>
      </c>
      <c r="H319" s="3">
        <f>IF(OR(NOT(ISNUMBER($C319)),NOT(ISNUMBER($G319))),"",$C319*$G319)</f>
        <v>9.34</v>
      </c>
      <c r="I319" t="s">
        <v>14</v>
      </c>
    </row>
    <row r="320" spans="1:9" x14ac:dyDescent="0.25">
      <c r="A320" t="s">
        <v>138</v>
      </c>
      <c r="B320" t="s">
        <v>24</v>
      </c>
      <c r="C320" s="1">
        <v>1</v>
      </c>
      <c r="D320" t="s">
        <v>16</v>
      </c>
      <c r="E320" t="s">
        <v>45</v>
      </c>
      <c r="F320" t="s">
        <v>13</v>
      </c>
      <c r="G320" s="2">
        <v>1.6429</v>
      </c>
      <c r="H320" s="3">
        <f>IF(OR(NOT(ISNUMBER($C320)),NOT(ISNUMBER($G320))),"",$C320*$G320)</f>
        <v>1.6429</v>
      </c>
      <c r="I320" t="s">
        <v>14</v>
      </c>
    </row>
    <row r="321" spans="1:9" x14ac:dyDescent="0.25">
      <c r="A321" t="s">
        <v>140</v>
      </c>
      <c r="B321" t="s">
        <v>22</v>
      </c>
      <c r="C321" s="1">
        <v>1</v>
      </c>
      <c r="D321" t="s">
        <v>16</v>
      </c>
      <c r="E321" t="s">
        <v>26</v>
      </c>
      <c r="F321" t="s">
        <v>13</v>
      </c>
      <c r="G321" s="2">
        <v>3.64</v>
      </c>
      <c r="H321" s="3">
        <f>IF(OR(NOT(ISNUMBER($C321)),NOT(ISNUMBER($G321))),"",$C321*$G321)</f>
        <v>3.64</v>
      </c>
      <c r="I321" t="s">
        <v>14</v>
      </c>
    </row>
    <row r="322" spans="1:9" x14ac:dyDescent="0.25">
      <c r="A322" t="s">
        <v>140</v>
      </c>
      <c r="B322" t="s">
        <v>27</v>
      </c>
      <c r="C322" s="1">
        <v>150</v>
      </c>
      <c r="D322" t="s">
        <v>19</v>
      </c>
      <c r="E322" t="s">
        <v>26</v>
      </c>
      <c r="F322" t="s">
        <v>13</v>
      </c>
      <c r="G322" s="2">
        <v>0.09</v>
      </c>
      <c r="H322" s="3">
        <f>IF(OR(NOT(ISNUMBER($C322)),NOT(ISNUMBER($G322))),"",$C322*$G322)</f>
        <v>13.5</v>
      </c>
      <c r="I322" t="s">
        <v>14</v>
      </c>
    </row>
    <row r="323" spans="1:9" x14ac:dyDescent="0.25">
      <c r="A323" t="s">
        <v>140</v>
      </c>
      <c r="B323" t="s">
        <v>23</v>
      </c>
      <c r="C323" s="1">
        <v>300</v>
      </c>
      <c r="D323" t="s">
        <v>11</v>
      </c>
      <c r="E323" t="s">
        <v>26</v>
      </c>
      <c r="F323" t="s">
        <v>13</v>
      </c>
      <c r="G323" s="2">
        <v>0.0015</v>
      </c>
      <c r="H323" s="3">
        <f>IF(OR(NOT(ISNUMBER($C323)),NOT(ISNUMBER($G323))),"",$C323*$G323)</f>
        <v>0.45</v>
      </c>
      <c r="I323" t="s">
        <v>14</v>
      </c>
    </row>
    <row r="324" spans="1:9" x14ac:dyDescent="0.25">
      <c r="A324" t="s">
        <v>140</v>
      </c>
      <c r="B324" t="s">
        <v>139</v>
      </c>
      <c r="C324" s="1">
        <v>20</v>
      </c>
      <c r="D324" t="s">
        <v>11</v>
      </c>
      <c r="E324" t="s">
        <v>26</v>
      </c>
      <c r="F324" t="s">
        <v>13</v>
      </c>
      <c r="G324" s="2">
        <v>0.1433</v>
      </c>
      <c r="H324" s="3">
        <f>IF(OR(NOT(ISNUMBER($C324)),NOT(ISNUMBER($G324))),"",$C324*$G324)</f>
        <v>2.866</v>
      </c>
      <c r="I324" t="s">
        <v>14</v>
      </c>
    </row>
    <row r="325" spans="1:9" x14ac:dyDescent="0.25">
      <c r="A325" t="s">
        <v>140</v>
      </c>
      <c r="B325" t="s">
        <v>24</v>
      </c>
      <c r="C325" s="1">
        <v>1</v>
      </c>
      <c r="D325" t="s">
        <v>16</v>
      </c>
      <c r="E325" t="s">
        <v>26</v>
      </c>
      <c r="F325" t="s">
        <v>13</v>
      </c>
      <c r="G325" s="2">
        <v>1.6429</v>
      </c>
      <c r="H325" s="3">
        <f>IF(OR(NOT(ISNUMBER($C325)),NOT(ISNUMBER($G325))),"",$C325*$G325)</f>
        <v>1.6429</v>
      </c>
      <c r="I325" t="s">
        <v>14</v>
      </c>
    </row>
    <row r="326" spans="1:9" x14ac:dyDescent="0.25">
      <c r="A326" t="s">
        <v>140</v>
      </c>
      <c r="B326" t="s">
        <v>29</v>
      </c>
      <c r="C326" s="1">
        <v>20</v>
      </c>
      <c r="D326" t="s">
        <v>19</v>
      </c>
      <c r="E326" t="s">
        <v>26</v>
      </c>
      <c r="F326" t="s">
        <v>13</v>
      </c>
      <c r="G326" s="2">
        <v>0.0806</v>
      </c>
      <c r="H326" s="3">
        <f>IF(OR(NOT(ISNUMBER($C326)),NOT(ISNUMBER($G326))),"",$C326*$G326)</f>
        <v>1.612</v>
      </c>
      <c r="I326" t="s">
        <v>14</v>
      </c>
    </row>
    <row r="327" spans="1:9" x14ac:dyDescent="0.25">
      <c r="A327" t="s">
        <v>140</v>
      </c>
      <c r="B327" t="s">
        <v>30</v>
      </c>
      <c r="C327" s="1">
        <v>40</v>
      </c>
      <c r="D327" t="s">
        <v>19</v>
      </c>
      <c r="E327" t="s">
        <v>26</v>
      </c>
      <c r="F327" t="s">
        <v>13</v>
      </c>
      <c r="G327" s="2">
        <v>0.34</v>
      </c>
      <c r="H327" s="3">
        <f>IF(OR(NOT(ISNUMBER($C327)),NOT(ISNUMBER($G327))),"",$C327*$G327)</f>
        <v>13.6</v>
      </c>
      <c r="I327" t="s">
        <v>14</v>
      </c>
    </row>
    <row r="328" spans="1:9" x14ac:dyDescent="0.25">
      <c r="A328" t="s">
        <v>141</v>
      </c>
      <c r="B328" t="s">
        <v>10</v>
      </c>
      <c r="C328" s="1">
        <v>17</v>
      </c>
      <c r="D328" t="s">
        <v>11</v>
      </c>
      <c r="E328" t="s">
        <v>67</v>
      </c>
      <c r="F328" t="s">
        <v>13</v>
      </c>
      <c r="G328" s="2">
        <v>1.1</v>
      </c>
      <c r="H328" s="3">
        <f>IF(OR(NOT(ISNUMBER($C328)),NOT(ISNUMBER($G328))),"",$C328*$G328)</f>
        <v>18.7</v>
      </c>
      <c r="I328" t="s">
        <v>14</v>
      </c>
    </row>
    <row r="329" spans="1:9" x14ac:dyDescent="0.25">
      <c r="A329" t="s">
        <v>141</v>
      </c>
      <c r="B329" t="s">
        <v>27</v>
      </c>
      <c r="C329" s="1">
        <v>200</v>
      </c>
      <c r="D329" t="s">
        <v>19</v>
      </c>
      <c r="E329" t="s">
        <v>67</v>
      </c>
      <c r="F329" t="s">
        <v>13</v>
      </c>
      <c r="G329" s="2">
        <v>0.09</v>
      </c>
      <c r="H329" s="3">
        <f>IF(OR(NOT(ISNUMBER($C329)),NOT(ISNUMBER($G329))),"",$C329*$G329)</f>
        <v>18</v>
      </c>
      <c r="I329" t="s">
        <v>14</v>
      </c>
    </row>
    <row r="330" spans="1:9" x14ac:dyDescent="0.25">
      <c r="A330" t="s">
        <v>141</v>
      </c>
      <c r="B330" t="s">
        <v>15</v>
      </c>
      <c r="C330" s="1">
        <v>1</v>
      </c>
      <c r="D330" t="s">
        <v>16</v>
      </c>
      <c r="E330" t="s">
        <v>67</v>
      </c>
      <c r="F330" t="s">
        <v>13</v>
      </c>
      <c r="G330" s="2">
        <v>5</v>
      </c>
      <c r="H330" s="3">
        <f>IF(OR(NOT(ISNUMBER($C330)),NOT(ISNUMBER($G330))),"",$C330*$G330)</f>
        <v>5</v>
      </c>
      <c r="I330" t="s">
        <v>14</v>
      </c>
    </row>
    <row r="331" spans="1:9" x14ac:dyDescent="0.25">
      <c r="A331" t="s">
        <v>141</v>
      </c>
      <c r="B331" t="s">
        <v>17</v>
      </c>
      <c r="C331" s="1">
        <v>1</v>
      </c>
      <c r="D331" t="s">
        <v>16</v>
      </c>
      <c r="E331" t="s">
        <v>67</v>
      </c>
      <c r="F331" t="s">
        <v>13</v>
      </c>
      <c r="G331" s="2">
        <v>1.6</v>
      </c>
      <c r="H331" s="3">
        <f>IF(OR(NOT(ISNUMBER($C331)),NOT(ISNUMBER($G331))),"",$C331*$G331)</f>
        <v>1.6</v>
      </c>
      <c r="I331" t="s">
        <v>14</v>
      </c>
    </row>
    <row r="332" spans="1:9" x14ac:dyDescent="0.25">
      <c r="A332" t="s">
        <v>141</v>
      </c>
      <c r="B332" t="s">
        <v>142</v>
      </c>
      <c r="C332" s="1">
        <v>30</v>
      </c>
      <c r="D332" t="s">
        <v>19</v>
      </c>
      <c r="E332" t="s">
        <v>67</v>
      </c>
      <c r="F332" t="s">
        <v>13</v>
      </c>
      <c r="G332" s="2">
        <v>1.268</v>
      </c>
      <c r="H332" s="3">
        <f>IF(OR(NOT(ISNUMBER($C332)),NOT(ISNUMBER($G332))),"",$C332*$G332)</f>
        <v>38.04</v>
      </c>
      <c r="I332" t="s">
        <v>14</v>
      </c>
    </row>
    <row r="333" spans="1:9" x14ac:dyDescent="0.25">
      <c r="A333" t="s">
        <v>141</v>
      </c>
      <c r="B333" t="s">
        <v>29</v>
      </c>
      <c r="C333" s="1">
        <v>30</v>
      </c>
      <c r="D333" t="s">
        <v>19</v>
      </c>
      <c r="E333" t="s">
        <v>67</v>
      </c>
      <c r="F333" t="s">
        <v>13</v>
      </c>
      <c r="G333" s="2">
        <v>0.0806</v>
      </c>
      <c r="H333" s="3">
        <f>IF(OR(NOT(ISNUMBER($C333)),NOT(ISNUMBER($G333))),"",$C333*$G333)</f>
        <v>2.418</v>
      </c>
      <c r="I333" t="s">
        <v>14</v>
      </c>
    </row>
    <row r="334" spans="1:9" x14ac:dyDescent="0.25">
      <c r="A334" t="s">
        <v>143</v>
      </c>
      <c r="B334" t="s">
        <v>10</v>
      </c>
      <c r="C334" s="1">
        <v>17</v>
      </c>
      <c r="D334" t="s">
        <v>11</v>
      </c>
      <c r="E334" t="s">
        <v>70</v>
      </c>
      <c r="F334" t="s">
        <v>13</v>
      </c>
      <c r="G334" s="2">
        <v>1.1</v>
      </c>
      <c r="H334" s="3">
        <f>IF(OR(NOT(ISNUMBER($C334)),NOT(ISNUMBER($G334))),"",$C334*$G334)</f>
        <v>18.7</v>
      </c>
      <c r="I334" t="s">
        <v>14</v>
      </c>
    </row>
    <row r="335" spans="1:9" x14ac:dyDescent="0.25">
      <c r="A335" t="s">
        <v>143</v>
      </c>
      <c r="B335" t="s">
        <v>22</v>
      </c>
      <c r="C335" s="1">
        <v>1</v>
      </c>
      <c r="D335" t="s">
        <v>16</v>
      </c>
      <c r="E335" t="s">
        <v>70</v>
      </c>
      <c r="F335" t="s">
        <v>13</v>
      </c>
      <c r="G335" s="2">
        <v>3.64</v>
      </c>
      <c r="H335" s="3">
        <f>IF(OR(NOT(ISNUMBER($C335)),NOT(ISNUMBER($G335))),"",$C335*$G335)</f>
        <v>3.64</v>
      </c>
      <c r="I335" t="s">
        <v>14</v>
      </c>
    </row>
    <row r="336" spans="1:9" x14ac:dyDescent="0.25">
      <c r="A336" t="s">
        <v>143</v>
      </c>
      <c r="B336" t="s">
        <v>27</v>
      </c>
      <c r="C336" s="1">
        <v>150</v>
      </c>
      <c r="D336" t="s">
        <v>19</v>
      </c>
      <c r="E336" t="s">
        <v>70</v>
      </c>
      <c r="F336" t="s">
        <v>13</v>
      </c>
      <c r="G336" s="2">
        <v>0.09</v>
      </c>
      <c r="H336" s="3">
        <f>IF(OR(NOT(ISNUMBER($C336)),NOT(ISNUMBER($G336))),"",$C336*$G336)</f>
        <v>13.5</v>
      </c>
      <c r="I336" t="s">
        <v>14</v>
      </c>
    </row>
    <row r="337" spans="1:9" x14ac:dyDescent="0.25">
      <c r="A337" t="s">
        <v>143</v>
      </c>
      <c r="B337" t="s">
        <v>23</v>
      </c>
      <c r="C337" s="1">
        <v>300</v>
      </c>
      <c r="D337" t="s">
        <v>11</v>
      </c>
      <c r="E337" t="s">
        <v>70</v>
      </c>
      <c r="F337" t="s">
        <v>13</v>
      </c>
      <c r="G337" s="2">
        <v>0.0015</v>
      </c>
      <c r="H337" s="3">
        <f>IF(OR(NOT(ISNUMBER($C337)),NOT(ISNUMBER($G337))),"",$C337*$G337)</f>
        <v>0.45</v>
      </c>
      <c r="I337" t="s">
        <v>14</v>
      </c>
    </row>
    <row r="338" spans="1:9" x14ac:dyDescent="0.25">
      <c r="A338" t="s">
        <v>143</v>
      </c>
      <c r="B338" t="s">
        <v>142</v>
      </c>
      <c r="C338" s="1">
        <v>30</v>
      </c>
      <c r="D338" t="s">
        <v>19</v>
      </c>
      <c r="E338" t="s">
        <v>70</v>
      </c>
      <c r="F338" t="s">
        <v>13</v>
      </c>
      <c r="G338" s="2">
        <v>1.268</v>
      </c>
      <c r="H338" s="3">
        <f>IF(OR(NOT(ISNUMBER($C338)),NOT(ISNUMBER($G338))),"",$C338*$G338)</f>
        <v>38.04</v>
      </c>
      <c r="I338" t="s">
        <v>14</v>
      </c>
    </row>
    <row r="339" spans="1:9" x14ac:dyDescent="0.25">
      <c r="A339" t="s">
        <v>143</v>
      </c>
      <c r="B339" t="s">
        <v>24</v>
      </c>
      <c r="C339" s="1">
        <v>1</v>
      </c>
      <c r="D339" t="s">
        <v>16</v>
      </c>
      <c r="E339" t="s">
        <v>70</v>
      </c>
      <c r="F339" t="s">
        <v>13</v>
      </c>
      <c r="G339" s="2">
        <v>1.6429</v>
      </c>
      <c r="H339" s="3">
        <f>IF(OR(NOT(ISNUMBER($C339)),NOT(ISNUMBER($G339))),"",$C339*$G339)</f>
        <v>1.6429</v>
      </c>
      <c r="I339" t="s">
        <v>14</v>
      </c>
    </row>
    <row r="340" spans="1:9" x14ac:dyDescent="0.25">
      <c r="A340" t="s">
        <v>143</v>
      </c>
      <c r="B340" t="s">
        <v>29</v>
      </c>
      <c r="C340" s="1">
        <v>30</v>
      </c>
      <c r="D340" t="s">
        <v>19</v>
      </c>
      <c r="E340" t="s">
        <v>70</v>
      </c>
      <c r="F340" t="s">
        <v>13</v>
      </c>
      <c r="G340" s="2">
        <v>0.0806</v>
      </c>
      <c r="H340" s="3">
        <f>IF(OR(NOT(ISNUMBER($C340)),NOT(ISNUMBER($G340))),"",$C340*$G340)</f>
        <v>2.418</v>
      </c>
      <c r="I340" t="s">
        <v>14</v>
      </c>
    </row>
    <row r="341" spans="1:9" x14ac:dyDescent="0.25">
      <c r="A341" t="s">
        <v>144</v>
      </c>
      <c r="B341" t="s">
        <v>10</v>
      </c>
      <c r="C341" s="1">
        <v>17</v>
      </c>
      <c r="D341" t="s">
        <v>11</v>
      </c>
      <c r="E341" t="s">
        <v>77</v>
      </c>
      <c r="F341" t="s">
        <v>13</v>
      </c>
      <c r="G341" s="2">
        <v>1.1</v>
      </c>
      <c r="H341" s="3">
        <f>IF(OR(NOT(ISNUMBER($C341)),NOT(ISNUMBER($G341))),"",$C341*$G341)</f>
        <v>18.7</v>
      </c>
      <c r="I341" t="s">
        <v>14</v>
      </c>
    </row>
    <row r="342" spans="1:9" x14ac:dyDescent="0.25">
      <c r="A342" t="s">
        <v>144</v>
      </c>
      <c r="B342" t="s">
        <v>27</v>
      </c>
      <c r="C342" s="1">
        <v>200</v>
      </c>
      <c r="D342" t="s">
        <v>19</v>
      </c>
      <c r="E342" t="s">
        <v>77</v>
      </c>
      <c r="F342" t="s">
        <v>13</v>
      </c>
      <c r="G342" s="2">
        <v>0.09</v>
      </c>
      <c r="H342" s="3">
        <f>IF(OR(NOT(ISNUMBER($C342)),NOT(ISNUMBER($G342))),"",$C342*$G342)</f>
        <v>18</v>
      </c>
      <c r="I342" t="s">
        <v>14</v>
      </c>
    </row>
    <row r="343" spans="1:9" x14ac:dyDescent="0.25">
      <c r="A343" t="s">
        <v>144</v>
      </c>
      <c r="B343" t="s">
        <v>15</v>
      </c>
      <c r="C343" s="1">
        <v>1</v>
      </c>
      <c r="D343" t="s">
        <v>16</v>
      </c>
      <c r="E343" t="s">
        <v>77</v>
      </c>
      <c r="F343" t="s">
        <v>13</v>
      </c>
      <c r="G343" s="2">
        <v>5</v>
      </c>
      <c r="H343" s="3">
        <f>IF(OR(NOT(ISNUMBER($C343)),NOT(ISNUMBER($G343))),"",$C343*$G343)</f>
        <v>5</v>
      </c>
      <c r="I343" t="s">
        <v>14</v>
      </c>
    </row>
    <row r="344" spans="1:9" x14ac:dyDescent="0.25">
      <c r="A344" t="s">
        <v>144</v>
      </c>
      <c r="B344" t="s">
        <v>17</v>
      </c>
      <c r="C344" s="1">
        <v>1</v>
      </c>
      <c r="D344" t="s">
        <v>16</v>
      </c>
      <c r="E344" t="s">
        <v>77</v>
      </c>
      <c r="F344" t="s">
        <v>13</v>
      </c>
      <c r="G344" s="2">
        <v>1.6</v>
      </c>
      <c r="H344" s="3">
        <f>IF(OR(NOT(ISNUMBER($C344)),NOT(ISNUMBER($G344))),"",$C344*$G344)</f>
        <v>1.6</v>
      </c>
      <c r="I344" t="s">
        <v>14</v>
      </c>
    </row>
    <row r="345" spans="1:9" x14ac:dyDescent="0.25">
      <c r="A345" t="s">
        <v>145</v>
      </c>
      <c r="B345" t="s">
        <v>10</v>
      </c>
      <c r="C345" s="1">
        <v>17</v>
      </c>
      <c r="D345" t="s">
        <v>11</v>
      </c>
      <c r="E345" t="s">
        <v>79</v>
      </c>
      <c r="F345" t="s">
        <v>13</v>
      </c>
      <c r="G345" s="2">
        <v>1.1</v>
      </c>
      <c r="H345" s="3">
        <f>IF(OR(NOT(ISNUMBER($C345)),NOT(ISNUMBER($G345))),"",$C345*$G345)</f>
        <v>18.7</v>
      </c>
      <c r="I345" t="s">
        <v>14</v>
      </c>
    </row>
    <row r="346" spans="1:9" x14ac:dyDescent="0.25">
      <c r="A346" t="s">
        <v>145</v>
      </c>
      <c r="B346" t="s">
        <v>22</v>
      </c>
      <c r="C346" s="1">
        <v>1</v>
      </c>
      <c r="D346" t="s">
        <v>16</v>
      </c>
      <c r="E346" t="s">
        <v>79</v>
      </c>
      <c r="F346" t="s">
        <v>13</v>
      </c>
      <c r="G346" s="2">
        <v>3.64</v>
      </c>
      <c r="H346" s="3">
        <f>IF(OR(NOT(ISNUMBER($C346)),NOT(ISNUMBER($G346))),"",$C346*$G346)</f>
        <v>3.64</v>
      </c>
      <c r="I346" t="s">
        <v>14</v>
      </c>
    </row>
    <row r="347" spans="1:9" x14ac:dyDescent="0.25">
      <c r="A347" t="s">
        <v>145</v>
      </c>
      <c r="B347" t="s">
        <v>27</v>
      </c>
      <c r="C347" s="1">
        <v>150</v>
      </c>
      <c r="D347" t="s">
        <v>19</v>
      </c>
      <c r="E347" t="s">
        <v>79</v>
      </c>
      <c r="F347" t="s">
        <v>13</v>
      </c>
      <c r="G347" s="2">
        <v>0.09</v>
      </c>
      <c r="H347" s="3">
        <f>IF(OR(NOT(ISNUMBER($C347)),NOT(ISNUMBER($G347))),"",$C347*$G347)</f>
        <v>13.5</v>
      </c>
      <c r="I347" t="s">
        <v>14</v>
      </c>
    </row>
    <row r="348" spans="1:9" x14ac:dyDescent="0.25">
      <c r="A348" t="s">
        <v>145</v>
      </c>
      <c r="B348" t="s">
        <v>23</v>
      </c>
      <c r="C348" s="1">
        <v>300</v>
      </c>
      <c r="D348" t="s">
        <v>11</v>
      </c>
      <c r="E348" t="s">
        <v>79</v>
      </c>
      <c r="F348" t="s">
        <v>13</v>
      </c>
      <c r="G348" s="2">
        <v>0.0015</v>
      </c>
      <c r="H348" s="3">
        <f>IF(OR(NOT(ISNUMBER($C348)),NOT(ISNUMBER($G348))),"",$C348*$G348)</f>
        <v>0.45</v>
      </c>
      <c r="I348" t="s">
        <v>14</v>
      </c>
    </row>
    <row r="349" spans="1:9" x14ac:dyDescent="0.25">
      <c r="A349" t="s">
        <v>145</v>
      </c>
      <c r="B349" t="s">
        <v>24</v>
      </c>
      <c r="C349" s="1">
        <v>1</v>
      </c>
      <c r="D349" t="s">
        <v>16</v>
      </c>
      <c r="E349" t="s">
        <v>79</v>
      </c>
      <c r="F349" t="s">
        <v>13</v>
      </c>
      <c r="G349" s="2">
        <v>1.6429</v>
      </c>
      <c r="H349" s="3">
        <f>IF(OR(NOT(ISNUMBER($C349)),NOT(ISNUMBER($G349))),"",$C349*$G349)</f>
        <v>1.6429</v>
      </c>
      <c r="I349" t="s">
        <v>14</v>
      </c>
    </row>
    <row r="350" spans="1:9" x14ac:dyDescent="0.25">
      <c r="A350" t="s">
        <v>146</v>
      </c>
      <c r="B350" t="s">
        <v>10</v>
      </c>
      <c r="C350" s="1">
        <v>17</v>
      </c>
      <c r="D350" t="s">
        <v>11</v>
      </c>
      <c r="E350" t="s">
        <v>77</v>
      </c>
      <c r="F350" t="s">
        <v>13</v>
      </c>
      <c r="G350" s="2">
        <v>1.1</v>
      </c>
      <c r="H350" s="3">
        <f>IF(OR(NOT(ISNUMBER($C350)),NOT(ISNUMBER($G350))),"",$C350*$G350)</f>
        <v>18.7</v>
      </c>
      <c r="I350" t="s">
        <v>14</v>
      </c>
    </row>
    <row r="351" spans="1:9" x14ac:dyDescent="0.25">
      <c r="A351" t="s">
        <v>146</v>
      </c>
      <c r="B351" t="s">
        <v>27</v>
      </c>
      <c r="C351" s="1">
        <v>200</v>
      </c>
      <c r="D351" t="s">
        <v>19</v>
      </c>
      <c r="E351" t="s">
        <v>77</v>
      </c>
      <c r="F351" t="s">
        <v>13</v>
      </c>
      <c r="G351" s="2">
        <v>0.09</v>
      </c>
      <c r="H351" s="3">
        <f>IF(OR(NOT(ISNUMBER($C351)),NOT(ISNUMBER($G351))),"",$C351*$G351)</f>
        <v>18</v>
      </c>
      <c r="I351" t="s">
        <v>14</v>
      </c>
    </row>
    <row r="352" spans="1:9" x14ac:dyDescent="0.25">
      <c r="A352" t="s">
        <v>146</v>
      </c>
      <c r="B352" t="s">
        <v>15</v>
      </c>
      <c r="C352" s="1">
        <v>1</v>
      </c>
      <c r="D352" t="s">
        <v>16</v>
      </c>
      <c r="E352" t="s">
        <v>77</v>
      </c>
      <c r="F352" t="s">
        <v>13</v>
      </c>
      <c r="G352" s="2">
        <v>5</v>
      </c>
      <c r="H352" s="3">
        <f>IF(OR(NOT(ISNUMBER($C352)),NOT(ISNUMBER($G352))),"",$C352*$G352)</f>
        <v>5</v>
      </c>
      <c r="I352" t="s">
        <v>14</v>
      </c>
    </row>
    <row r="353" spans="1:9" x14ac:dyDescent="0.25">
      <c r="A353" t="s">
        <v>146</v>
      </c>
      <c r="B353" t="s">
        <v>17</v>
      </c>
      <c r="C353" s="1">
        <v>1</v>
      </c>
      <c r="D353" t="s">
        <v>16</v>
      </c>
      <c r="E353" t="s">
        <v>77</v>
      </c>
      <c r="F353" t="s">
        <v>13</v>
      </c>
      <c r="G353" s="2">
        <v>1.6</v>
      </c>
      <c r="H353" s="3">
        <f>IF(OR(NOT(ISNUMBER($C353)),NOT(ISNUMBER($G353))),"",$C353*$G353)</f>
        <v>1.6</v>
      </c>
      <c r="I353" t="s">
        <v>14</v>
      </c>
    </row>
    <row r="354" spans="1:9" x14ac:dyDescent="0.25">
      <c r="A354" t="s">
        <v>147</v>
      </c>
      <c r="B354" t="s">
        <v>10</v>
      </c>
      <c r="C354" s="1">
        <v>17</v>
      </c>
      <c r="D354" t="s">
        <v>11</v>
      </c>
      <c r="E354" t="s">
        <v>79</v>
      </c>
      <c r="F354" t="s">
        <v>13</v>
      </c>
      <c r="G354" s="2">
        <v>1.1</v>
      </c>
      <c r="H354" s="3">
        <f>IF(OR(NOT(ISNUMBER($C354)),NOT(ISNUMBER($G354))),"",$C354*$G354)</f>
        <v>18.7</v>
      </c>
      <c r="I354" t="s">
        <v>14</v>
      </c>
    </row>
    <row r="355" spans="1:9" x14ac:dyDescent="0.25">
      <c r="A355" t="s">
        <v>147</v>
      </c>
      <c r="B355" t="s">
        <v>22</v>
      </c>
      <c r="C355" s="1">
        <v>1</v>
      </c>
      <c r="D355" t="s">
        <v>16</v>
      </c>
      <c r="E355" t="s">
        <v>79</v>
      </c>
      <c r="F355" t="s">
        <v>13</v>
      </c>
      <c r="G355" s="2">
        <v>3.64</v>
      </c>
      <c r="H355" s="3">
        <f>IF(OR(NOT(ISNUMBER($C355)),NOT(ISNUMBER($G355))),"",$C355*$G355)</f>
        <v>3.64</v>
      </c>
      <c r="I355" t="s">
        <v>14</v>
      </c>
    </row>
    <row r="356" spans="1:9" x14ac:dyDescent="0.25">
      <c r="A356" t="s">
        <v>147</v>
      </c>
      <c r="B356" t="s">
        <v>27</v>
      </c>
      <c r="C356" s="1">
        <v>150</v>
      </c>
      <c r="D356" t="s">
        <v>19</v>
      </c>
      <c r="E356" t="s">
        <v>79</v>
      </c>
      <c r="F356" t="s">
        <v>13</v>
      </c>
      <c r="G356" s="2">
        <v>0.09</v>
      </c>
      <c r="H356" s="3">
        <f>IF(OR(NOT(ISNUMBER($C356)),NOT(ISNUMBER($G356))),"",$C356*$G356)</f>
        <v>13.5</v>
      </c>
      <c r="I356" t="s">
        <v>14</v>
      </c>
    </row>
    <row r="357" spans="1:9" x14ac:dyDescent="0.25">
      <c r="A357" t="s">
        <v>147</v>
      </c>
      <c r="B357" t="s">
        <v>23</v>
      </c>
      <c r="C357" s="1">
        <v>300</v>
      </c>
      <c r="D357" t="s">
        <v>11</v>
      </c>
      <c r="E357" t="s">
        <v>79</v>
      </c>
      <c r="F357" t="s">
        <v>13</v>
      </c>
      <c r="G357" s="2">
        <v>0.0015</v>
      </c>
      <c r="H357" s="3">
        <f>IF(OR(NOT(ISNUMBER($C357)),NOT(ISNUMBER($G357))),"",$C357*$G357)</f>
        <v>0.45</v>
      </c>
      <c r="I357" t="s">
        <v>14</v>
      </c>
    </row>
    <row r="358" spans="1:9" x14ac:dyDescent="0.25">
      <c r="A358" t="s">
        <v>147</v>
      </c>
      <c r="B358" t="s">
        <v>24</v>
      </c>
      <c r="C358" s="1">
        <v>1</v>
      </c>
      <c r="D358" t="s">
        <v>16</v>
      </c>
      <c r="E358" t="s">
        <v>79</v>
      </c>
      <c r="F358" t="s">
        <v>13</v>
      </c>
      <c r="G358" s="2">
        <v>1.6429</v>
      </c>
      <c r="H358" s="3">
        <f>IF(OR(NOT(ISNUMBER($C358)),NOT(ISNUMBER($G358))),"",$C358*$G358)</f>
        <v>1.6429</v>
      </c>
      <c r="I358" t="s">
        <v>14</v>
      </c>
    </row>
    <row r="359" spans="1:9" x14ac:dyDescent="0.25">
      <c r="A359" t="s">
        <v>148</v>
      </c>
      <c r="B359" t="s">
        <v>10</v>
      </c>
      <c r="C359" s="1">
        <v>17</v>
      </c>
      <c r="D359" t="s">
        <v>11</v>
      </c>
      <c r="E359" t="s">
        <v>70</v>
      </c>
      <c r="F359" t="s">
        <v>13</v>
      </c>
      <c r="G359" s="2">
        <v>1.1</v>
      </c>
      <c r="H359" s="3">
        <f>IF(OR(NOT(ISNUMBER($C359)),NOT(ISNUMBER($G359))),"",$C359*$G359)</f>
        <v>18.7</v>
      </c>
      <c r="I359" t="s">
        <v>14</v>
      </c>
    </row>
    <row r="360" spans="1:9" x14ac:dyDescent="0.25">
      <c r="A360" t="s">
        <v>148</v>
      </c>
      <c r="B360" t="s">
        <v>22</v>
      </c>
      <c r="C360" s="1">
        <v>1</v>
      </c>
      <c r="D360" t="s">
        <v>16</v>
      </c>
      <c r="E360" t="s">
        <v>70</v>
      </c>
      <c r="F360" t="s">
        <v>13</v>
      </c>
      <c r="G360" s="2">
        <v>3.64</v>
      </c>
      <c r="H360" s="3">
        <f>IF(OR(NOT(ISNUMBER($C360)),NOT(ISNUMBER($G360))),"",$C360*$G360)</f>
        <v>3.64</v>
      </c>
      <c r="I360" t="s">
        <v>14</v>
      </c>
    </row>
    <row r="361" spans="1:9" x14ac:dyDescent="0.25">
      <c r="A361" t="s">
        <v>148</v>
      </c>
      <c r="B361" t="s">
        <v>23</v>
      </c>
      <c r="C361" s="1">
        <v>300</v>
      </c>
      <c r="D361" t="s">
        <v>11</v>
      </c>
      <c r="E361" t="s">
        <v>70</v>
      </c>
      <c r="F361" t="s">
        <v>13</v>
      </c>
      <c r="G361" s="2">
        <v>0.0015</v>
      </c>
      <c r="H361" s="3">
        <f>IF(OR(NOT(ISNUMBER($C361)),NOT(ISNUMBER($G361))),"",$C361*$G361)</f>
        <v>0.45</v>
      </c>
      <c r="I361" t="s">
        <v>14</v>
      </c>
    </row>
    <row r="362" spans="1:9" x14ac:dyDescent="0.25">
      <c r="A362" t="s">
        <v>148</v>
      </c>
      <c r="B362" t="s">
        <v>81</v>
      </c>
      <c r="C362" s="1">
        <v>150</v>
      </c>
      <c r="D362" t="s">
        <v>19</v>
      </c>
      <c r="E362" t="s">
        <v>70</v>
      </c>
      <c r="F362" t="s">
        <v>13</v>
      </c>
      <c r="G362" s="2">
        <v>0.145</v>
      </c>
      <c r="H362" s="3">
        <f>IF(OR(NOT(ISNUMBER($C362)),NOT(ISNUMBER($G362))),"",$C362*$G362)</f>
        <v>21.75</v>
      </c>
      <c r="I362" t="s">
        <v>14</v>
      </c>
    </row>
    <row r="363" spans="1:9" x14ac:dyDescent="0.25">
      <c r="A363" t="s">
        <v>148</v>
      </c>
      <c r="B363" t="s">
        <v>24</v>
      </c>
      <c r="C363" s="1">
        <v>1</v>
      </c>
      <c r="D363" t="s">
        <v>16</v>
      </c>
      <c r="E363" t="s">
        <v>70</v>
      </c>
      <c r="F363" t="s">
        <v>13</v>
      </c>
      <c r="G363" s="2">
        <v>1.6429</v>
      </c>
      <c r="H363" s="3">
        <f>IF(OR(NOT(ISNUMBER($C363)),NOT(ISNUMBER($G363))),"",$C363*$G363)</f>
        <v>1.6429</v>
      </c>
      <c r="I363" t="s">
        <v>14</v>
      </c>
    </row>
    <row r="364" spans="1:9" x14ac:dyDescent="0.25">
      <c r="A364" t="s">
        <v>149</v>
      </c>
      <c r="B364" t="s">
        <v>22</v>
      </c>
      <c r="C364" s="1">
        <v>1</v>
      </c>
      <c r="D364" t="s">
        <v>16</v>
      </c>
      <c r="E364" t="s">
        <v>36</v>
      </c>
      <c r="F364" t="s">
        <v>13</v>
      </c>
      <c r="G364" s="2">
        <v>3.64</v>
      </c>
      <c r="H364" s="3">
        <f>IF(OR(NOT(ISNUMBER($C364)),NOT(ISNUMBER($G364))),"",$C364*$G364)</f>
        <v>3.64</v>
      </c>
      <c r="I364" t="s">
        <v>14</v>
      </c>
    </row>
    <row r="365" spans="1:9" x14ac:dyDescent="0.25">
      <c r="A365" t="s">
        <v>149</v>
      </c>
      <c r="B365" t="s">
        <v>38</v>
      </c>
      <c r="C365" s="1">
        <v>1</v>
      </c>
      <c r="D365" t="s">
        <v>16</v>
      </c>
      <c r="E365" t="s">
        <v>36</v>
      </c>
      <c r="F365" t="s">
        <v>13</v>
      </c>
      <c r="G365" s="2">
        <v>1.86</v>
      </c>
      <c r="H365" s="3">
        <f>IF(OR(NOT(ISNUMBER($C365)),NOT(ISNUMBER($G365))),"",$C365*$G365)</f>
        <v>1.86</v>
      </c>
      <c r="I365" t="s">
        <v>14</v>
      </c>
    </row>
    <row r="366" spans="1:9" x14ac:dyDescent="0.25">
      <c r="A366" t="s">
        <v>149</v>
      </c>
      <c r="B366" t="s">
        <v>27</v>
      </c>
      <c r="C366" s="1">
        <v>100</v>
      </c>
      <c r="D366" t="s">
        <v>19</v>
      </c>
      <c r="E366" t="s">
        <v>36</v>
      </c>
      <c r="F366" t="s">
        <v>13</v>
      </c>
      <c r="G366" s="2">
        <v>0.09</v>
      </c>
      <c r="H366" s="3">
        <f>IF(OR(NOT(ISNUMBER($C366)),NOT(ISNUMBER($G366))),"",$C366*$G366)</f>
        <v>9</v>
      </c>
      <c r="I366" t="s">
        <v>14</v>
      </c>
    </row>
    <row r="367" spans="1:9" x14ac:dyDescent="0.25">
      <c r="A367" t="s">
        <v>149</v>
      </c>
      <c r="B367" t="s">
        <v>39</v>
      </c>
      <c r="C367" s="1">
        <v>30</v>
      </c>
      <c r="D367" t="s">
        <v>11</v>
      </c>
      <c r="E367" t="s">
        <v>36</v>
      </c>
      <c r="F367" t="s">
        <v>13</v>
      </c>
      <c r="G367" s="2">
        <v>0.7253</v>
      </c>
      <c r="H367" s="3">
        <f>IF(OR(NOT(ISNUMBER($C367)),NOT(ISNUMBER($G367))),"",$C367*$G367)</f>
        <v>21.759</v>
      </c>
      <c r="I367" t="s">
        <v>14</v>
      </c>
    </row>
    <row r="368" spans="1:9" x14ac:dyDescent="0.25">
      <c r="A368" t="s">
        <v>149</v>
      </c>
      <c r="B368" t="s">
        <v>23</v>
      </c>
      <c r="C368" s="1">
        <v>300</v>
      </c>
      <c r="D368" t="s">
        <v>11</v>
      </c>
      <c r="E368" t="s">
        <v>36</v>
      </c>
      <c r="F368" t="s">
        <v>13</v>
      </c>
      <c r="G368" s="2">
        <v>0.0015</v>
      </c>
      <c r="H368" s="3">
        <f>IF(OR(NOT(ISNUMBER($C368)),NOT(ISNUMBER($G368))),"",$C368*$G368)</f>
        <v>0.45</v>
      </c>
      <c r="I368" t="s">
        <v>14</v>
      </c>
    </row>
    <row r="369" spans="1:9" x14ac:dyDescent="0.25">
      <c r="A369" t="s">
        <v>149</v>
      </c>
      <c r="B369" t="s">
        <v>150</v>
      </c>
      <c r="C369" s="1">
        <v>55</v>
      </c>
      <c r="D369" t="s">
        <v>11</v>
      </c>
      <c r="E369" t="s">
        <v>36</v>
      </c>
      <c r="F369" t="s">
        <v>13</v>
      </c>
      <c r="G369" s="2">
        <v>0.1267</v>
      </c>
      <c r="H369" s="3">
        <f>IF(OR(NOT(ISNUMBER($C369)),NOT(ISNUMBER($G369))),"",$C369*$G369)</f>
        <v>6.9685</v>
      </c>
      <c r="I369" t="s">
        <v>14</v>
      </c>
    </row>
    <row r="370" spans="1:9" x14ac:dyDescent="0.25">
      <c r="A370" t="s">
        <v>149</v>
      </c>
      <c r="B370" t="s">
        <v>151</v>
      </c>
      <c r="C370" s="1">
        <v>5</v>
      </c>
      <c r="D370" t="s">
        <v>19</v>
      </c>
      <c r="E370" t="s">
        <v>36</v>
      </c>
      <c r="F370" t="s">
        <v>13</v>
      </c>
      <c r="G370" s="2">
        <v>0.152</v>
      </c>
      <c r="H370" s="3">
        <f>IF(OR(NOT(ISNUMBER($C370)),NOT(ISNUMBER($G370))),"",$C370*$G370)</f>
        <v>0.76</v>
      </c>
      <c r="I370" t="s">
        <v>14</v>
      </c>
    </row>
    <row r="371" spans="1:9" x14ac:dyDescent="0.25">
      <c r="A371" t="s">
        <v>149</v>
      </c>
      <c r="B371" t="s">
        <v>40</v>
      </c>
      <c r="C371" s="1">
        <v>15</v>
      </c>
      <c r="D371" t="s">
        <v>11</v>
      </c>
      <c r="E371" t="s">
        <v>36</v>
      </c>
      <c r="F371" t="s">
        <v>13</v>
      </c>
      <c r="G371" s="2">
        <v>0.27</v>
      </c>
      <c r="H371" s="3">
        <f>IF(OR(NOT(ISNUMBER($C371)),NOT(ISNUMBER($G371))),"",$C371*$G371)</f>
        <v>4.05</v>
      </c>
      <c r="I371" t="s">
        <v>14</v>
      </c>
    </row>
    <row r="372" spans="1:9" x14ac:dyDescent="0.25">
      <c r="A372" t="s">
        <v>152</v>
      </c>
      <c r="B372" t="s">
        <v>85</v>
      </c>
      <c r="C372" s="1">
        <v>10</v>
      </c>
      <c r="D372" t="s">
        <v>19</v>
      </c>
      <c r="E372" t="s">
        <v>89</v>
      </c>
      <c r="F372" t="s">
        <v>13</v>
      </c>
      <c r="G372" s="2">
        <v>1.486</v>
      </c>
      <c r="H372" s="3">
        <f>IF(OR(NOT(ISNUMBER($C372)),NOT(ISNUMBER($G372))),"",$C372*$G372)</f>
        <v>14.86</v>
      </c>
      <c r="I372" t="s">
        <v>14</v>
      </c>
    </row>
    <row r="373" spans="1:9" x14ac:dyDescent="0.25">
      <c r="A373" t="s">
        <v>152</v>
      </c>
      <c r="B373" t="s">
        <v>90</v>
      </c>
      <c r="C373" s="1">
        <v>1</v>
      </c>
      <c r="D373" t="s">
        <v>16</v>
      </c>
      <c r="E373" t="s">
        <v>89</v>
      </c>
      <c r="F373" t="s">
        <v>13</v>
      </c>
      <c r="G373" s="2">
        <v>3.5</v>
      </c>
      <c r="H373" s="3">
        <f>IF(OR(NOT(ISNUMBER($C373)),NOT(ISNUMBER($G373))),"",$C373*$G373)</f>
        <v>3.5</v>
      </c>
      <c r="I373" t="s">
        <v>14</v>
      </c>
    </row>
    <row r="374" spans="1:9" x14ac:dyDescent="0.25">
      <c r="A374" t="s">
        <v>152</v>
      </c>
      <c r="B374" t="s">
        <v>23</v>
      </c>
      <c r="C374" s="1">
        <v>300</v>
      </c>
      <c r="D374" t="s">
        <v>11</v>
      </c>
      <c r="E374" t="s">
        <v>89</v>
      </c>
      <c r="F374" t="s">
        <v>13</v>
      </c>
      <c r="G374" s="2">
        <v>0.0015</v>
      </c>
      <c r="H374" s="3">
        <f>IF(OR(NOT(ISNUMBER($C374)),NOT(ISNUMBER($G374))),"",$C374*$G374)</f>
        <v>0.45</v>
      </c>
      <c r="I374" t="s">
        <v>14</v>
      </c>
    </row>
    <row r="375" spans="1:9" x14ac:dyDescent="0.25">
      <c r="A375" t="s">
        <v>152</v>
      </c>
      <c r="B375" t="s">
        <v>123</v>
      </c>
      <c r="C375" s="1">
        <v>2</v>
      </c>
      <c r="D375" t="s">
        <v>11</v>
      </c>
      <c r="E375" t="s">
        <v>89</v>
      </c>
      <c r="F375" t="s">
        <v>13</v>
      </c>
      <c r="G375" s="2">
        <v>1.55</v>
      </c>
      <c r="H375" s="3">
        <f>IF(OR(NOT(ISNUMBER($C375)),NOT(ISNUMBER($G375))),"",$C375*$G375)</f>
        <v>3.1</v>
      </c>
      <c r="I375" t="s">
        <v>14</v>
      </c>
    </row>
    <row r="376" spans="1:9" x14ac:dyDescent="0.25">
      <c r="A376" t="s">
        <v>152</v>
      </c>
      <c r="B376" t="s">
        <v>81</v>
      </c>
      <c r="C376" s="1">
        <v>150</v>
      </c>
      <c r="D376" t="s">
        <v>19</v>
      </c>
      <c r="E376" t="s">
        <v>89</v>
      </c>
      <c r="F376" t="s">
        <v>13</v>
      </c>
      <c r="G376" s="2">
        <v>0.145</v>
      </c>
      <c r="H376" s="3">
        <f>IF(OR(NOT(ISNUMBER($C376)),NOT(ISNUMBER($G376))),"",$C376*$G376)</f>
        <v>21.75</v>
      </c>
      <c r="I376" t="s">
        <v>14</v>
      </c>
    </row>
    <row r="377" spans="1:9" x14ac:dyDescent="0.25">
      <c r="A377" t="s">
        <v>152</v>
      </c>
      <c r="B377" t="s">
        <v>87</v>
      </c>
      <c r="C377" s="1">
        <v>4</v>
      </c>
      <c r="D377" t="s">
        <v>11</v>
      </c>
      <c r="E377" t="s">
        <v>89</v>
      </c>
      <c r="F377" t="s">
        <v>13</v>
      </c>
      <c r="G377" s="2">
        <v>11.738</v>
      </c>
      <c r="H377" s="3">
        <f>IF(OR(NOT(ISNUMBER($C377)),NOT(ISNUMBER($G377))),"",$C377*$G377)</f>
        <v>46.952</v>
      </c>
      <c r="I377" t="s">
        <v>14</v>
      </c>
    </row>
    <row r="378" spans="1:9" x14ac:dyDescent="0.25">
      <c r="A378" t="s">
        <v>152</v>
      </c>
      <c r="B378" t="s">
        <v>150</v>
      </c>
      <c r="C378" s="1">
        <v>20</v>
      </c>
      <c r="D378" t="s">
        <v>11</v>
      </c>
      <c r="E378" t="s">
        <v>89</v>
      </c>
      <c r="F378" t="s">
        <v>13</v>
      </c>
      <c r="G378" s="2">
        <v>0.1267</v>
      </c>
      <c r="H378" s="3">
        <f>IF(OR(NOT(ISNUMBER($C378)),NOT(ISNUMBER($G378))),"",$C378*$G378)</f>
        <v>2.534</v>
      </c>
      <c r="I378" t="s">
        <v>14</v>
      </c>
    </row>
    <row r="379" spans="1:9" x14ac:dyDescent="0.25">
      <c r="A379" t="s">
        <v>152</v>
      </c>
      <c r="B379" t="s">
        <v>151</v>
      </c>
      <c r="C379" s="1">
        <v>5</v>
      </c>
      <c r="D379" t="s">
        <v>19</v>
      </c>
      <c r="E379" t="s">
        <v>89</v>
      </c>
      <c r="F379" t="s">
        <v>13</v>
      </c>
      <c r="G379" s="2">
        <v>0.152</v>
      </c>
      <c r="H379" s="3">
        <f>IF(OR(NOT(ISNUMBER($C379)),NOT(ISNUMBER($G379))),"",$C379*$G379)</f>
        <v>0.76</v>
      </c>
      <c r="I379" t="s">
        <v>14</v>
      </c>
    </row>
    <row r="380" spans="1:9" x14ac:dyDescent="0.25">
      <c r="A380" t="s">
        <v>152</v>
      </c>
      <c r="B380" t="s">
        <v>24</v>
      </c>
      <c r="C380" s="1">
        <v>1</v>
      </c>
      <c r="D380" t="s">
        <v>16</v>
      </c>
      <c r="E380" t="s">
        <v>89</v>
      </c>
      <c r="F380" t="s">
        <v>13</v>
      </c>
      <c r="G380" s="2">
        <v>1.6429</v>
      </c>
      <c r="H380" s="3">
        <f>IF(OR(NOT(ISNUMBER($C380)),NOT(ISNUMBER($G380))),"",$C380*$G380)</f>
        <v>1.6429</v>
      </c>
      <c r="I380" t="s">
        <v>14</v>
      </c>
    </row>
    <row r="381" spans="1:9" x14ac:dyDescent="0.25">
      <c r="A381" t="s">
        <v>152</v>
      </c>
      <c r="B381" t="s">
        <v>40</v>
      </c>
      <c r="C381" s="1">
        <v>10</v>
      </c>
      <c r="D381" t="s">
        <v>11</v>
      </c>
      <c r="E381" t="s">
        <v>89</v>
      </c>
      <c r="F381" t="s">
        <v>13</v>
      </c>
      <c r="G381" s="2">
        <v>0.27</v>
      </c>
      <c r="H381" s="3">
        <f>IF(OR(NOT(ISNUMBER($C381)),NOT(ISNUMBER($G381))),"",$C381*$G381)</f>
        <v>2.7</v>
      </c>
      <c r="I381" t="s">
        <v>14</v>
      </c>
    </row>
    <row r="382" spans="1:9" x14ac:dyDescent="0.25">
      <c r="A382" t="s">
        <v>153</v>
      </c>
      <c r="B382" t="s">
        <v>22</v>
      </c>
      <c r="C382" s="1">
        <v>1</v>
      </c>
      <c r="D382" t="s">
        <v>16</v>
      </c>
      <c r="E382" t="s">
        <v>45</v>
      </c>
      <c r="F382" t="s">
        <v>13</v>
      </c>
      <c r="G382" s="2">
        <v>3.64</v>
      </c>
      <c r="H382" s="3">
        <f>IF(OR(NOT(ISNUMBER($C382)),NOT(ISNUMBER($G382))),"",$C382*$G382)</f>
        <v>3.64</v>
      </c>
      <c r="I382" t="s">
        <v>14</v>
      </c>
    </row>
    <row r="383" spans="1:9" x14ac:dyDescent="0.25">
      <c r="A383" t="s">
        <v>153</v>
      </c>
      <c r="B383" t="s">
        <v>46</v>
      </c>
      <c r="C383" s="1">
        <v>0.5</v>
      </c>
      <c r="D383" t="s">
        <v>11</v>
      </c>
      <c r="E383" t="s">
        <v>45</v>
      </c>
      <c r="F383" t="s">
        <v>13</v>
      </c>
      <c r="G383" s="2">
        <v>0.749</v>
      </c>
      <c r="H383" s="3">
        <f>IF(OR(NOT(ISNUMBER($C383)),NOT(ISNUMBER($G383))),"",$C383*$G383)</f>
        <v>0.3745</v>
      </c>
      <c r="I383" t="s">
        <v>14</v>
      </c>
    </row>
    <row r="384" spans="1:9" x14ac:dyDescent="0.25">
      <c r="A384" t="s">
        <v>153</v>
      </c>
      <c r="B384" t="s">
        <v>23</v>
      </c>
      <c r="C384" s="1">
        <v>300</v>
      </c>
      <c r="D384" t="s">
        <v>11</v>
      </c>
      <c r="E384" t="s">
        <v>45</v>
      </c>
      <c r="F384" t="s">
        <v>13</v>
      </c>
      <c r="G384" s="2">
        <v>0.0015</v>
      </c>
      <c r="H384" s="3">
        <f>IF(OR(NOT(ISNUMBER($C384)),NOT(ISNUMBER($G384))),"",$C384*$G384)</f>
        <v>0.45</v>
      </c>
      <c r="I384" t="s">
        <v>14</v>
      </c>
    </row>
    <row r="385" spans="1:9" x14ac:dyDescent="0.25">
      <c r="A385" t="s">
        <v>153</v>
      </c>
      <c r="B385" t="s">
        <v>47</v>
      </c>
      <c r="C385" s="1">
        <v>15</v>
      </c>
      <c r="D385" t="s">
        <v>11</v>
      </c>
      <c r="E385" t="s">
        <v>45</v>
      </c>
      <c r="F385" t="s">
        <v>13</v>
      </c>
      <c r="G385" s="2">
        <v>0.29</v>
      </c>
      <c r="H385" s="3">
        <f>IF(OR(NOT(ISNUMBER($C385)),NOT(ISNUMBER($G385))),"",$C385*$G385)</f>
        <v>4.35</v>
      </c>
      <c r="I385" t="s">
        <v>14</v>
      </c>
    </row>
    <row r="386" spans="1:9" x14ac:dyDescent="0.25">
      <c r="A386" t="s">
        <v>153</v>
      </c>
      <c r="B386" t="s">
        <v>48</v>
      </c>
      <c r="C386" s="1">
        <v>200</v>
      </c>
      <c r="D386" t="s">
        <v>19</v>
      </c>
      <c r="E386" t="s">
        <v>45</v>
      </c>
      <c r="F386" t="s">
        <v>13</v>
      </c>
      <c r="G386" s="2">
        <v>0.0467</v>
      </c>
      <c r="H386" s="3">
        <f>IF(OR(NOT(ISNUMBER($C386)),NOT(ISNUMBER($G386))),"",$C386*$G386)</f>
        <v>9.34</v>
      </c>
      <c r="I386" t="s">
        <v>14</v>
      </c>
    </row>
    <row r="387" spans="1:9" x14ac:dyDescent="0.25">
      <c r="A387" t="s">
        <v>153</v>
      </c>
      <c r="B387" t="s">
        <v>150</v>
      </c>
      <c r="C387" s="1">
        <v>25</v>
      </c>
      <c r="D387" t="s">
        <v>11</v>
      </c>
      <c r="E387" t="s">
        <v>45</v>
      </c>
      <c r="F387" t="s">
        <v>13</v>
      </c>
      <c r="G387" s="2">
        <v>0.1267</v>
      </c>
      <c r="H387" s="3">
        <f>IF(OR(NOT(ISNUMBER($C387)),NOT(ISNUMBER($G387))),"",$C387*$G387)</f>
        <v>3.1675</v>
      </c>
      <c r="I387" t="s">
        <v>14</v>
      </c>
    </row>
    <row r="388" spans="1:9" x14ac:dyDescent="0.25">
      <c r="A388" t="s">
        <v>153</v>
      </c>
      <c r="B388" t="s">
        <v>151</v>
      </c>
      <c r="C388" s="1">
        <v>25</v>
      </c>
      <c r="D388" t="s">
        <v>19</v>
      </c>
      <c r="E388" t="s">
        <v>45</v>
      </c>
      <c r="F388" t="s">
        <v>13</v>
      </c>
      <c r="G388" s="2">
        <v>0.152</v>
      </c>
      <c r="H388" s="3">
        <f>IF(OR(NOT(ISNUMBER($C388)),NOT(ISNUMBER($G388))),"",$C388*$G388)</f>
        <v>3.8</v>
      </c>
      <c r="I388" t="s">
        <v>14</v>
      </c>
    </row>
    <row r="389" spans="1:9" x14ac:dyDescent="0.25">
      <c r="A389" t="s">
        <v>153</v>
      </c>
      <c r="B389" t="s">
        <v>24</v>
      </c>
      <c r="C389" s="1">
        <v>1</v>
      </c>
      <c r="D389" t="s">
        <v>16</v>
      </c>
      <c r="E389" t="s">
        <v>45</v>
      </c>
      <c r="F389" t="s">
        <v>13</v>
      </c>
      <c r="G389" s="2">
        <v>1.6429</v>
      </c>
      <c r="H389" s="3">
        <f>IF(OR(NOT(ISNUMBER($C389)),NOT(ISNUMBER($G389))),"",$C389*$G389)</f>
        <v>1.6429</v>
      </c>
      <c r="I389" t="s">
        <v>14</v>
      </c>
    </row>
    <row r="390" spans="1:9" x14ac:dyDescent="0.25">
      <c r="A390" t="s">
        <v>154</v>
      </c>
      <c r="B390" t="s">
        <v>22</v>
      </c>
      <c r="C390" s="1">
        <v>1</v>
      </c>
      <c r="D390" t="s">
        <v>16</v>
      </c>
      <c r="E390" t="s">
        <v>26</v>
      </c>
      <c r="F390" t="s">
        <v>13</v>
      </c>
      <c r="G390" s="2">
        <v>3.64</v>
      </c>
      <c r="H390" s="3">
        <f>IF(OR(NOT(ISNUMBER($C390)),NOT(ISNUMBER($G390))),"",$C390*$G390)</f>
        <v>3.64</v>
      </c>
      <c r="I390" t="s">
        <v>14</v>
      </c>
    </row>
    <row r="391" spans="1:9" x14ac:dyDescent="0.25">
      <c r="A391" t="s">
        <v>154</v>
      </c>
      <c r="B391" t="s">
        <v>27</v>
      </c>
      <c r="C391" s="1">
        <v>150</v>
      </c>
      <c r="D391" t="s">
        <v>19</v>
      </c>
      <c r="E391" t="s">
        <v>26</v>
      </c>
      <c r="F391" t="s">
        <v>13</v>
      </c>
      <c r="G391" s="2">
        <v>0.09</v>
      </c>
      <c r="H391" s="3">
        <f>IF(OR(NOT(ISNUMBER($C391)),NOT(ISNUMBER($G391))),"",$C391*$G391)</f>
        <v>13.5</v>
      </c>
      <c r="I391" t="s">
        <v>14</v>
      </c>
    </row>
    <row r="392" spans="1:9" x14ac:dyDescent="0.25">
      <c r="A392" t="s">
        <v>154</v>
      </c>
      <c r="B392" t="s">
        <v>23</v>
      </c>
      <c r="C392" s="1">
        <v>300</v>
      </c>
      <c r="D392" t="s">
        <v>11</v>
      </c>
      <c r="E392" t="s">
        <v>26</v>
      </c>
      <c r="F392" t="s">
        <v>13</v>
      </c>
      <c r="G392" s="2">
        <v>0.0015</v>
      </c>
      <c r="H392" s="3">
        <f>IF(OR(NOT(ISNUMBER($C392)),NOT(ISNUMBER($G392))),"",$C392*$G392)</f>
        <v>0.45</v>
      </c>
      <c r="I392" t="s">
        <v>14</v>
      </c>
    </row>
    <row r="393" spans="1:9" x14ac:dyDescent="0.25">
      <c r="A393" t="s">
        <v>154</v>
      </c>
      <c r="B393" t="s">
        <v>150</v>
      </c>
      <c r="C393" s="1">
        <v>20</v>
      </c>
      <c r="D393" t="s">
        <v>11</v>
      </c>
      <c r="E393" t="s">
        <v>26</v>
      </c>
      <c r="F393" t="s">
        <v>13</v>
      </c>
      <c r="G393" s="2">
        <v>0.1267</v>
      </c>
      <c r="H393" s="3">
        <f>IF(OR(NOT(ISNUMBER($C393)),NOT(ISNUMBER($G393))),"",$C393*$G393)</f>
        <v>2.534</v>
      </c>
      <c r="I393" t="s">
        <v>14</v>
      </c>
    </row>
    <row r="394" spans="1:9" x14ac:dyDescent="0.25">
      <c r="A394" t="s">
        <v>154</v>
      </c>
      <c r="B394" t="s">
        <v>24</v>
      </c>
      <c r="C394" s="1">
        <v>1</v>
      </c>
      <c r="D394" t="s">
        <v>16</v>
      </c>
      <c r="E394" t="s">
        <v>26</v>
      </c>
      <c r="F394" t="s">
        <v>13</v>
      </c>
      <c r="G394" s="2">
        <v>1.6429</v>
      </c>
      <c r="H394" s="3">
        <f>IF(OR(NOT(ISNUMBER($C394)),NOT(ISNUMBER($G394))),"",$C394*$G394)</f>
        <v>1.6429</v>
      </c>
      <c r="I394" t="s">
        <v>14</v>
      </c>
    </row>
    <row r="395" spans="1:9" x14ac:dyDescent="0.25">
      <c r="A395" t="s">
        <v>154</v>
      </c>
      <c r="B395" t="s">
        <v>29</v>
      </c>
      <c r="C395" s="1">
        <v>20</v>
      </c>
      <c r="D395" t="s">
        <v>19</v>
      </c>
      <c r="E395" t="s">
        <v>26</v>
      </c>
      <c r="F395" t="s">
        <v>13</v>
      </c>
      <c r="G395" s="2">
        <v>0.0806</v>
      </c>
      <c r="H395" s="3">
        <f>IF(OR(NOT(ISNUMBER($C395)),NOT(ISNUMBER($G395))),"",$C395*$G395)</f>
        <v>1.612</v>
      </c>
      <c r="I395" t="s">
        <v>14</v>
      </c>
    </row>
    <row r="396" spans="1:9" x14ac:dyDescent="0.25">
      <c r="A396" t="s">
        <v>154</v>
      </c>
      <c r="B396" t="s">
        <v>30</v>
      </c>
      <c r="C396" s="1">
        <v>40</v>
      </c>
      <c r="D396" t="s">
        <v>19</v>
      </c>
      <c r="E396" t="s">
        <v>26</v>
      </c>
      <c r="F396" t="s">
        <v>13</v>
      </c>
      <c r="G396" s="2">
        <v>0.34</v>
      </c>
      <c r="H396" s="3">
        <f>IF(OR(NOT(ISNUMBER($C396)),NOT(ISNUMBER($G396))),"",$C396*$G396)</f>
        <v>13.6</v>
      </c>
      <c r="I396" t="s">
        <v>14</v>
      </c>
    </row>
    <row r="397" spans="1:9" x14ac:dyDescent="0.25">
      <c r="A397" t="s">
        <v>155</v>
      </c>
      <c r="B397" t="s">
        <v>156</v>
      </c>
      <c r="C397" s="1">
        <v>6</v>
      </c>
      <c r="D397" t="s">
        <v>11</v>
      </c>
      <c r="E397" t="s">
        <v>52</v>
      </c>
      <c r="F397" t="s">
        <v>13</v>
      </c>
      <c r="G397" s="2">
        <v>0.085</v>
      </c>
      <c r="H397" s="3">
        <f>IF(OR(NOT(ISNUMBER($C397)),NOT(ISNUMBER($G397))),"",$C397*$G397)</f>
        <v>0.51</v>
      </c>
      <c r="I397" t="s">
        <v>14</v>
      </c>
    </row>
    <row r="398" spans="1:9" x14ac:dyDescent="0.25">
      <c r="A398" t="s">
        <v>155</v>
      </c>
      <c r="B398" t="s">
        <v>157</v>
      </c>
      <c r="C398" s="1">
        <v>1.3</v>
      </c>
      <c r="D398" t="s">
        <v>11</v>
      </c>
      <c r="E398" t="s">
        <v>52</v>
      </c>
      <c r="F398" t="s">
        <v>13</v>
      </c>
      <c r="G398" s="2">
        <v>0.5066</v>
      </c>
      <c r="H398" s="3">
        <f>IF(OR(NOT(ISNUMBER($C398)),NOT(ISNUMBER($G398))),"",$C398*$G398)</f>
        <v>0.6586</v>
      </c>
      <c r="I398" t="s">
        <v>14</v>
      </c>
    </row>
    <row r="399" spans="1:9" x14ac:dyDescent="0.25">
      <c r="A399" t="s">
        <v>155</v>
      </c>
      <c r="B399" t="s">
        <v>158</v>
      </c>
      <c r="C399" s="1">
        <v>1.3</v>
      </c>
      <c r="D399" t="s">
        <v>11</v>
      </c>
      <c r="E399" t="s">
        <v>52</v>
      </c>
      <c r="F399" t="s">
        <v>13</v>
      </c>
      <c r="G399" s="2"/>
      <c r="H399" s="3" t="str">
        <f>IF(OR(NOT(ISNUMBER($C399)),NOT(ISNUMBER($G399))),"",$C399*$G399)</f>
        <v/>
      </c>
      <c r="I399" t="s">
        <v>53</v>
      </c>
    </row>
    <row r="400" spans="1:9" x14ac:dyDescent="0.25">
      <c r="A400" t="s">
        <v>155</v>
      </c>
      <c r="B400" t="s">
        <v>159</v>
      </c>
      <c r="C400" s="1">
        <v>44</v>
      </c>
      <c r="D400" t="s">
        <v>11</v>
      </c>
      <c r="E400" t="s">
        <v>52</v>
      </c>
      <c r="F400" t="s">
        <v>13</v>
      </c>
      <c r="G400" s="2"/>
      <c r="H400" s="3" t="str">
        <f>IF(OR(NOT(ISNUMBER($C400)),NOT(ISNUMBER($G400))),"",$C400*$G400)</f>
        <v/>
      </c>
      <c r="I400" t="s">
        <v>53</v>
      </c>
    </row>
    <row r="401" spans="1:9" x14ac:dyDescent="0.25">
      <c r="A401" t="s">
        <v>155</v>
      </c>
      <c r="B401" t="s">
        <v>160</v>
      </c>
      <c r="C401" s="1">
        <v>5</v>
      </c>
      <c r="D401" t="s">
        <v>11</v>
      </c>
      <c r="E401" t="s">
        <v>52</v>
      </c>
      <c r="F401" t="s">
        <v>13</v>
      </c>
      <c r="G401" s="2"/>
      <c r="H401" s="3" t="str">
        <f>IF(OR(NOT(ISNUMBER($C401)),NOT(ISNUMBER($G401))),"",$C401*$G401)</f>
        <v/>
      </c>
      <c r="I401" t="s">
        <v>53</v>
      </c>
    </row>
    <row r="402" spans="1:9" x14ac:dyDescent="0.25">
      <c r="A402" t="s">
        <v>155</v>
      </c>
      <c r="B402" t="s">
        <v>161</v>
      </c>
      <c r="C402" s="1">
        <v>0.4</v>
      </c>
      <c r="D402" t="s">
        <v>11</v>
      </c>
      <c r="E402" t="s">
        <v>52</v>
      </c>
      <c r="F402" t="s">
        <v>13</v>
      </c>
      <c r="G402" s="2">
        <v>0.737</v>
      </c>
      <c r="H402" s="3">
        <f>IF(OR(NOT(ISNUMBER($C402)),NOT(ISNUMBER($G402))),"",$C402*$G402)</f>
        <v>0.2948</v>
      </c>
      <c r="I402" t="s">
        <v>14</v>
      </c>
    </row>
    <row r="403" spans="1:9" x14ac:dyDescent="0.25">
      <c r="A403" t="s">
        <v>155</v>
      </c>
      <c r="B403" t="s">
        <v>62</v>
      </c>
      <c r="C403" s="1">
        <v>7</v>
      </c>
      <c r="D403" t="s">
        <v>11</v>
      </c>
      <c r="E403" t="s">
        <v>52</v>
      </c>
      <c r="F403" t="s">
        <v>13</v>
      </c>
      <c r="G403" s="2"/>
      <c r="H403" s="3" t="str">
        <f>IF(OR(NOT(ISNUMBER($C403)),NOT(ISNUMBER($G403))),"",$C403*$G403)</f>
        <v/>
      </c>
      <c r="I403" t="s">
        <v>53</v>
      </c>
    </row>
    <row r="404" spans="1:9" x14ac:dyDescent="0.25">
      <c r="A404" t="s">
        <v>162</v>
      </c>
      <c r="B404" t="s">
        <v>51</v>
      </c>
      <c r="C404" s="1">
        <v>3.2</v>
      </c>
      <c r="D404" t="s">
        <v>11</v>
      </c>
      <c r="E404" t="s">
        <v>52</v>
      </c>
      <c r="F404" t="s">
        <v>13</v>
      </c>
      <c r="G404" s="2"/>
      <c r="H404" s="3" t="str">
        <f>IF(OR(NOT(ISNUMBER($C404)),NOT(ISNUMBER($G404))),"",$C404*$G404)</f>
        <v/>
      </c>
      <c r="I404" t="s">
        <v>53</v>
      </c>
    </row>
    <row r="405" spans="1:9" x14ac:dyDescent="0.25">
      <c r="A405" t="s">
        <v>162</v>
      </c>
      <c r="B405" t="s">
        <v>157</v>
      </c>
      <c r="C405" s="1">
        <v>4</v>
      </c>
      <c r="D405" t="s">
        <v>11</v>
      </c>
      <c r="E405" t="s">
        <v>52</v>
      </c>
      <c r="F405" t="s">
        <v>13</v>
      </c>
      <c r="G405" s="2">
        <v>0.5066</v>
      </c>
      <c r="H405" s="3">
        <f>IF(OR(NOT(ISNUMBER($C405)),NOT(ISNUMBER($G405))),"",$C405*$G405)</f>
        <v>2.0264</v>
      </c>
      <c r="I405" t="s">
        <v>14</v>
      </c>
    </row>
    <row r="406" spans="1:9" x14ac:dyDescent="0.25">
      <c r="A406" t="s">
        <v>162</v>
      </c>
      <c r="B406" t="s">
        <v>158</v>
      </c>
      <c r="C406" s="1">
        <v>0.5</v>
      </c>
      <c r="D406" t="s">
        <v>11</v>
      </c>
      <c r="E406" t="s">
        <v>52</v>
      </c>
      <c r="F406" t="s">
        <v>13</v>
      </c>
      <c r="G406" s="2"/>
      <c r="H406" s="3" t="str">
        <f>IF(OR(NOT(ISNUMBER($C406)),NOT(ISNUMBER($G406))),"",$C406*$G406)</f>
        <v/>
      </c>
      <c r="I406" t="s">
        <v>53</v>
      </c>
    </row>
    <row r="407" spans="1:9" x14ac:dyDescent="0.25">
      <c r="A407" t="s">
        <v>162</v>
      </c>
      <c r="B407" t="s">
        <v>163</v>
      </c>
      <c r="C407" s="1">
        <v>0.4</v>
      </c>
      <c r="D407" t="s">
        <v>11</v>
      </c>
      <c r="E407" t="s">
        <v>52</v>
      </c>
      <c r="F407" t="s">
        <v>13</v>
      </c>
      <c r="G407" s="2"/>
      <c r="H407" s="3" t="str">
        <f>IF(OR(NOT(ISNUMBER($C407)),NOT(ISNUMBER($G407))),"",$C407*$G407)</f>
        <v/>
      </c>
      <c r="I407" t="s">
        <v>53</v>
      </c>
    </row>
    <row r="408" spans="1:9" x14ac:dyDescent="0.25">
      <c r="A408" t="s">
        <v>162</v>
      </c>
      <c r="B408" t="s">
        <v>161</v>
      </c>
      <c r="C408" s="1">
        <v>0.5</v>
      </c>
      <c r="D408" t="s">
        <v>11</v>
      </c>
      <c r="E408" t="s">
        <v>52</v>
      </c>
      <c r="F408" t="s">
        <v>13</v>
      </c>
      <c r="G408" s="2">
        <v>0.737</v>
      </c>
      <c r="H408" s="3">
        <f>IF(OR(NOT(ISNUMBER($C408)),NOT(ISNUMBER($G408))),"",$C408*$G408)</f>
        <v>0.3685</v>
      </c>
      <c r="I408" t="s">
        <v>14</v>
      </c>
    </row>
    <row r="409" spans="1:9" x14ac:dyDescent="0.25">
      <c r="A409" t="s">
        <v>162</v>
      </c>
      <c r="B409" t="s">
        <v>111</v>
      </c>
      <c r="C409" s="1">
        <v>30</v>
      </c>
      <c r="D409" t="s">
        <v>11</v>
      </c>
      <c r="E409" t="s">
        <v>52</v>
      </c>
      <c r="F409" t="s">
        <v>13</v>
      </c>
      <c r="G409" s="2"/>
      <c r="H409" s="3" t="str">
        <f>IF(OR(NOT(ISNUMBER($C409)),NOT(ISNUMBER($G409))),"",$C409*$G409)</f>
        <v/>
      </c>
      <c r="I409" t="s">
        <v>53</v>
      </c>
    </row>
    <row r="410" spans="1:9" x14ac:dyDescent="0.25">
      <c r="A410" t="s">
        <v>162</v>
      </c>
      <c r="B410" t="s">
        <v>63</v>
      </c>
      <c r="C410" s="1">
        <v>38</v>
      </c>
      <c r="D410" t="s">
        <v>11</v>
      </c>
      <c r="E410" t="s">
        <v>52</v>
      </c>
      <c r="F410" t="s">
        <v>13</v>
      </c>
      <c r="G410" s="2">
        <v>0.09</v>
      </c>
      <c r="H410" s="3">
        <f>IF(OR(NOT(ISNUMBER($C410)),NOT(ISNUMBER($G410))),"",$C410*$G410)</f>
        <v>3.42</v>
      </c>
      <c r="I410" t="s">
        <v>14</v>
      </c>
    </row>
    <row r="411" spans="1:9" x14ac:dyDescent="0.25">
      <c r="A411" t="s">
        <v>162</v>
      </c>
      <c r="B411" t="s">
        <v>164</v>
      </c>
      <c r="C411" s="1">
        <v>30</v>
      </c>
      <c r="D411" t="s">
        <v>19</v>
      </c>
      <c r="E411" t="s">
        <v>52</v>
      </c>
      <c r="F411" t="s">
        <v>165</v>
      </c>
      <c r="G411" s="2">
        <v>0.0549</v>
      </c>
      <c r="H411" s="3">
        <f>IF(OR(NOT(ISNUMBER($C411)),NOT(ISNUMBER($G411))),"",$C411*$G411)</f>
        <v>1.647</v>
      </c>
      <c r="I411" t="s">
        <v>14</v>
      </c>
    </row>
    <row r="412" spans="1:9" x14ac:dyDescent="0.25">
      <c r="A412" t="s">
        <v>162</v>
      </c>
      <c r="B412" t="s">
        <v>18</v>
      </c>
      <c r="C412" s="1">
        <v>20</v>
      </c>
      <c r="D412" t="s">
        <v>19</v>
      </c>
      <c r="E412" t="s">
        <v>52</v>
      </c>
      <c r="F412" t="s">
        <v>13</v>
      </c>
      <c r="G412" s="2">
        <v>0.002</v>
      </c>
      <c r="H412" s="3">
        <f>IF(OR(NOT(ISNUMBER($C412)),NOT(ISNUMBER($G412))),"",$C412*$G412)</f>
        <v>0.04</v>
      </c>
      <c r="I412" t="s">
        <v>14</v>
      </c>
    </row>
    <row r="413" spans="1:9" x14ac:dyDescent="0.25">
      <c r="A413" t="s">
        <v>166</v>
      </c>
      <c r="B413" t="s">
        <v>22</v>
      </c>
      <c r="C413" s="1">
        <v>1</v>
      </c>
      <c r="D413" t="s">
        <v>16</v>
      </c>
      <c r="E413" t="s">
        <v>36</v>
      </c>
      <c r="F413" t="s">
        <v>13</v>
      </c>
      <c r="G413" s="2">
        <v>3.64</v>
      </c>
      <c r="H413" s="3">
        <f>IF(OR(NOT(ISNUMBER($C413)),NOT(ISNUMBER($G413))),"",$C413*$G413)</f>
        <v>3.64</v>
      </c>
      <c r="I413" t="s">
        <v>14</v>
      </c>
    </row>
    <row r="414" spans="1:9" x14ac:dyDescent="0.25">
      <c r="A414" t="s">
        <v>166</v>
      </c>
      <c r="B414" t="s">
        <v>68</v>
      </c>
      <c r="C414" s="1">
        <v>55</v>
      </c>
      <c r="D414" t="s">
        <v>19</v>
      </c>
      <c r="E414" t="s">
        <v>36</v>
      </c>
      <c r="F414" t="s">
        <v>13</v>
      </c>
      <c r="G414" s="2">
        <v>0.6085</v>
      </c>
      <c r="H414" s="3">
        <f>IF(OR(NOT(ISNUMBER($C414)),NOT(ISNUMBER($G414))),"",$C414*$G414)</f>
        <v>33.4675</v>
      </c>
      <c r="I414" t="s">
        <v>14</v>
      </c>
    </row>
    <row r="415" spans="1:9" x14ac:dyDescent="0.25">
      <c r="A415" t="s">
        <v>166</v>
      </c>
      <c r="B415" t="s">
        <v>38</v>
      </c>
      <c r="C415" s="1">
        <v>1</v>
      </c>
      <c r="D415" t="s">
        <v>16</v>
      </c>
      <c r="E415" t="s">
        <v>36</v>
      </c>
      <c r="F415" t="s">
        <v>13</v>
      </c>
      <c r="G415" s="2">
        <v>1.86</v>
      </c>
      <c r="H415" s="3">
        <f>IF(OR(NOT(ISNUMBER($C415)),NOT(ISNUMBER($G415))),"",$C415*$G415)</f>
        <v>1.86</v>
      </c>
      <c r="I415" t="s">
        <v>14</v>
      </c>
    </row>
    <row r="416" spans="1:9" x14ac:dyDescent="0.25">
      <c r="A416" t="s">
        <v>166</v>
      </c>
      <c r="B416" t="s">
        <v>27</v>
      </c>
      <c r="C416" s="1">
        <v>100</v>
      </c>
      <c r="D416" t="s">
        <v>19</v>
      </c>
      <c r="E416" t="s">
        <v>36</v>
      </c>
      <c r="F416" t="s">
        <v>13</v>
      </c>
      <c r="G416" s="2">
        <v>0.09</v>
      </c>
      <c r="H416" s="3">
        <f>IF(OR(NOT(ISNUMBER($C416)),NOT(ISNUMBER($G416))),"",$C416*$G416)</f>
        <v>9</v>
      </c>
      <c r="I416" t="s">
        <v>14</v>
      </c>
    </row>
    <row r="417" spans="1:9" x14ac:dyDescent="0.25">
      <c r="A417" t="s">
        <v>166</v>
      </c>
      <c r="B417" t="s">
        <v>39</v>
      </c>
      <c r="C417" s="1">
        <v>30</v>
      </c>
      <c r="D417" t="s">
        <v>11</v>
      </c>
      <c r="E417" t="s">
        <v>36</v>
      </c>
      <c r="F417" t="s">
        <v>13</v>
      </c>
      <c r="G417" s="2">
        <v>0.7253</v>
      </c>
      <c r="H417" s="3">
        <f>IF(OR(NOT(ISNUMBER($C417)),NOT(ISNUMBER($G417))),"",$C417*$G417)</f>
        <v>21.759</v>
      </c>
      <c r="I417" t="s">
        <v>14</v>
      </c>
    </row>
    <row r="418" spans="1:9" x14ac:dyDescent="0.25">
      <c r="A418" t="s">
        <v>166</v>
      </c>
      <c r="B418" t="s">
        <v>23</v>
      </c>
      <c r="C418" s="1">
        <v>300</v>
      </c>
      <c r="D418" t="s">
        <v>11</v>
      </c>
      <c r="E418" t="s">
        <v>36</v>
      </c>
      <c r="F418" t="s">
        <v>13</v>
      </c>
      <c r="G418" s="2">
        <v>0.0015</v>
      </c>
      <c r="H418" s="3">
        <f>IF(OR(NOT(ISNUMBER($C418)),NOT(ISNUMBER($G418))),"",$C418*$G418)</f>
        <v>0.45</v>
      </c>
      <c r="I418" t="s">
        <v>14</v>
      </c>
    </row>
    <row r="419" spans="1:9" x14ac:dyDescent="0.25">
      <c r="A419" t="s">
        <v>166</v>
      </c>
      <c r="B419" t="s">
        <v>40</v>
      </c>
      <c r="C419" s="1">
        <v>15</v>
      </c>
      <c r="D419" t="s">
        <v>11</v>
      </c>
      <c r="E419" t="s">
        <v>36</v>
      </c>
      <c r="F419" t="s">
        <v>13</v>
      </c>
      <c r="G419" s="2">
        <v>0.27</v>
      </c>
      <c r="H419" s="3">
        <f>IF(OR(NOT(ISNUMBER($C419)),NOT(ISNUMBER($G419))),"",$C419*$G419)</f>
        <v>4.05</v>
      </c>
      <c r="I419" t="s">
        <v>14</v>
      </c>
    </row>
    <row r="420" spans="1:9" x14ac:dyDescent="0.25">
      <c r="A420" t="s">
        <v>167</v>
      </c>
      <c r="B420" t="s">
        <v>22</v>
      </c>
      <c r="C420" s="1">
        <v>1</v>
      </c>
      <c r="D420" t="s">
        <v>16</v>
      </c>
      <c r="E420" t="s">
        <v>36</v>
      </c>
      <c r="F420" t="s">
        <v>13</v>
      </c>
      <c r="G420" s="2">
        <v>3.64</v>
      </c>
      <c r="H420" s="3">
        <f>IF(OR(NOT(ISNUMBER($C420)),NOT(ISNUMBER($G420))),"",$C420*$G420)</f>
        <v>3.64</v>
      </c>
      <c r="I420" t="s">
        <v>14</v>
      </c>
    </row>
    <row r="421" spans="1:9" x14ac:dyDescent="0.25">
      <c r="A421" t="s">
        <v>167</v>
      </c>
      <c r="B421" t="s">
        <v>38</v>
      </c>
      <c r="C421" s="1">
        <v>1</v>
      </c>
      <c r="D421" t="s">
        <v>16</v>
      </c>
      <c r="E421" t="s">
        <v>36</v>
      </c>
      <c r="F421" t="s">
        <v>13</v>
      </c>
      <c r="G421" s="2">
        <v>1.86</v>
      </c>
      <c r="H421" s="3">
        <f>IF(OR(NOT(ISNUMBER($C421)),NOT(ISNUMBER($G421))),"",$C421*$G421)</f>
        <v>1.86</v>
      </c>
      <c r="I421" t="s">
        <v>14</v>
      </c>
    </row>
    <row r="422" spans="1:9" x14ac:dyDescent="0.25">
      <c r="A422" t="s">
        <v>167</v>
      </c>
      <c r="B422" t="s">
        <v>39</v>
      </c>
      <c r="C422" s="1">
        <v>30</v>
      </c>
      <c r="D422" t="s">
        <v>11</v>
      </c>
      <c r="E422" t="s">
        <v>36</v>
      </c>
      <c r="F422" t="s">
        <v>13</v>
      </c>
      <c r="G422" s="2">
        <v>0.7253</v>
      </c>
      <c r="H422" s="3">
        <f>IF(OR(NOT(ISNUMBER($C422)),NOT(ISNUMBER($G422))),"",$C422*$G422)</f>
        <v>21.759</v>
      </c>
      <c r="I422" t="s">
        <v>14</v>
      </c>
    </row>
    <row r="423" spans="1:9" x14ac:dyDescent="0.25">
      <c r="A423" t="s">
        <v>167</v>
      </c>
      <c r="B423" t="s">
        <v>23</v>
      </c>
      <c r="C423" s="1">
        <v>300</v>
      </c>
      <c r="D423" t="s">
        <v>11</v>
      </c>
      <c r="E423" t="s">
        <v>36</v>
      </c>
      <c r="F423" t="s">
        <v>13</v>
      </c>
      <c r="G423" s="2">
        <v>0.0015</v>
      </c>
      <c r="H423" s="3">
        <f>IF(OR(NOT(ISNUMBER($C423)),NOT(ISNUMBER($G423))),"",$C423*$G423)</f>
        <v>0.45</v>
      </c>
      <c r="I423" t="s">
        <v>14</v>
      </c>
    </row>
    <row r="424" spans="1:9" x14ac:dyDescent="0.25">
      <c r="A424" t="s">
        <v>167</v>
      </c>
      <c r="B424" t="s">
        <v>81</v>
      </c>
      <c r="C424" s="1">
        <v>100</v>
      </c>
      <c r="D424" t="s">
        <v>19</v>
      </c>
      <c r="E424" t="s">
        <v>36</v>
      </c>
      <c r="F424" t="s">
        <v>13</v>
      </c>
      <c r="G424" s="2">
        <v>0.145</v>
      </c>
      <c r="H424" s="3">
        <f>IF(OR(NOT(ISNUMBER($C424)),NOT(ISNUMBER($G424))),"",$C424*$G424)</f>
        <v>14.5</v>
      </c>
      <c r="I424" t="s">
        <v>14</v>
      </c>
    </row>
    <row r="425" spans="1:9" x14ac:dyDescent="0.25">
      <c r="A425" t="s">
        <v>167</v>
      </c>
      <c r="B425" t="s">
        <v>168</v>
      </c>
      <c r="C425" s="1">
        <v>60</v>
      </c>
      <c r="D425" t="s">
        <v>19</v>
      </c>
      <c r="E425" t="s">
        <v>36</v>
      </c>
      <c r="F425" t="s">
        <v>13</v>
      </c>
      <c r="G425" s="2">
        <v>0.4425</v>
      </c>
      <c r="H425" s="3">
        <f>IF(OR(NOT(ISNUMBER($C425)),NOT(ISNUMBER($G425))),"",$C425*$G425)</f>
        <v>26.55</v>
      </c>
      <c r="I425" t="s">
        <v>14</v>
      </c>
    </row>
    <row r="426" spans="1:9" x14ac:dyDescent="0.25">
      <c r="A426" t="s">
        <v>167</v>
      </c>
      <c r="B426" t="s">
        <v>40</v>
      </c>
      <c r="C426" s="1">
        <v>15</v>
      </c>
      <c r="D426" t="s">
        <v>11</v>
      </c>
      <c r="E426" t="s">
        <v>36</v>
      </c>
      <c r="F426" t="s">
        <v>13</v>
      </c>
      <c r="G426" s="2">
        <v>0.27</v>
      </c>
      <c r="H426" s="3">
        <f>IF(OR(NOT(ISNUMBER($C426)),NOT(ISNUMBER($G426))),"",$C426*$G426)</f>
        <v>4.05</v>
      </c>
      <c r="I426" t="s">
        <v>14</v>
      </c>
    </row>
    <row r="427" spans="1:9" x14ac:dyDescent="0.25">
      <c r="A427" t="s">
        <v>169</v>
      </c>
      <c r="B427" t="s">
        <v>10</v>
      </c>
      <c r="C427" s="1">
        <v>17</v>
      </c>
      <c r="D427" t="s">
        <v>11</v>
      </c>
      <c r="E427" t="s">
        <v>67</v>
      </c>
      <c r="F427" t="s">
        <v>13</v>
      </c>
      <c r="G427" s="2">
        <v>1.1</v>
      </c>
      <c r="H427" s="3">
        <f>IF(OR(NOT(ISNUMBER($C427)),NOT(ISNUMBER($G427))),"",$C427*$G427)</f>
        <v>18.7</v>
      </c>
      <c r="I427" t="s">
        <v>14</v>
      </c>
    </row>
    <row r="428" spans="1:9" x14ac:dyDescent="0.25">
      <c r="A428" t="s">
        <v>169</v>
      </c>
      <c r="B428" t="s">
        <v>15</v>
      </c>
      <c r="C428" s="1">
        <v>1</v>
      </c>
      <c r="D428" t="s">
        <v>16</v>
      </c>
      <c r="E428" t="s">
        <v>67</v>
      </c>
      <c r="F428" t="s">
        <v>13</v>
      </c>
      <c r="G428" s="2">
        <v>5</v>
      </c>
      <c r="H428" s="3">
        <f>IF(OR(NOT(ISNUMBER($C428)),NOT(ISNUMBER($G428))),"",$C428*$G428)</f>
        <v>5</v>
      </c>
      <c r="I428" t="s">
        <v>14</v>
      </c>
    </row>
    <row r="429" spans="1:9" x14ac:dyDescent="0.25">
      <c r="A429" t="s">
        <v>169</v>
      </c>
      <c r="B429" t="s">
        <v>17</v>
      </c>
      <c r="C429" s="1">
        <v>1</v>
      </c>
      <c r="D429" t="s">
        <v>16</v>
      </c>
      <c r="E429" t="s">
        <v>67</v>
      </c>
      <c r="F429" t="s">
        <v>13</v>
      </c>
      <c r="G429" s="2">
        <v>1.6</v>
      </c>
      <c r="H429" s="3">
        <f>IF(OR(NOT(ISNUMBER($C429)),NOT(ISNUMBER($G429))),"",$C429*$G429)</f>
        <v>1.6</v>
      </c>
      <c r="I429" t="s">
        <v>14</v>
      </c>
    </row>
    <row r="430" spans="1:9" x14ac:dyDescent="0.25">
      <c r="A430" t="s">
        <v>169</v>
      </c>
      <c r="B430" t="s">
        <v>81</v>
      </c>
      <c r="C430" s="1">
        <v>200</v>
      </c>
      <c r="D430" t="s">
        <v>19</v>
      </c>
      <c r="E430" t="s">
        <v>67</v>
      </c>
      <c r="F430" t="s">
        <v>13</v>
      </c>
      <c r="G430" s="2">
        <v>0.145</v>
      </c>
      <c r="H430" s="3">
        <f>IF(OR(NOT(ISNUMBER($C430)),NOT(ISNUMBER($G430))),"",$C430*$G430)</f>
        <v>29</v>
      </c>
      <c r="I430" t="s">
        <v>14</v>
      </c>
    </row>
    <row r="431" spans="1:9" x14ac:dyDescent="0.25">
      <c r="A431" t="s">
        <v>169</v>
      </c>
      <c r="B431" t="s">
        <v>168</v>
      </c>
      <c r="C431" s="1">
        <v>30</v>
      </c>
      <c r="D431" t="s">
        <v>19</v>
      </c>
      <c r="E431" t="s">
        <v>67</v>
      </c>
      <c r="F431" t="s">
        <v>13</v>
      </c>
      <c r="G431" s="2">
        <v>0.4425</v>
      </c>
      <c r="H431" s="3">
        <f>IF(OR(NOT(ISNUMBER($C431)),NOT(ISNUMBER($G431))),"",$C431*$G431)</f>
        <v>13.275</v>
      </c>
      <c r="I431" t="s">
        <v>14</v>
      </c>
    </row>
    <row r="432" spans="1:9" x14ac:dyDescent="0.25">
      <c r="A432" t="s">
        <v>169</v>
      </c>
      <c r="B432" t="s">
        <v>170</v>
      </c>
      <c r="C432" s="1">
        <v>30</v>
      </c>
      <c r="D432" t="s">
        <v>19</v>
      </c>
      <c r="E432" t="s">
        <v>67</v>
      </c>
      <c r="F432" t="s">
        <v>13</v>
      </c>
      <c r="G432" s="2">
        <v>0.695</v>
      </c>
      <c r="H432" s="3">
        <f>IF(OR(NOT(ISNUMBER($C432)),NOT(ISNUMBER($G432))),"",$C432*$G432)</f>
        <v>20.85</v>
      </c>
      <c r="I432" t="s">
        <v>14</v>
      </c>
    </row>
    <row r="433" spans="1:9" x14ac:dyDescent="0.25">
      <c r="A433" t="s">
        <v>171</v>
      </c>
      <c r="B433" t="s">
        <v>10</v>
      </c>
      <c r="C433" s="1">
        <v>17</v>
      </c>
      <c r="D433" t="s">
        <v>11</v>
      </c>
      <c r="E433" t="s">
        <v>70</v>
      </c>
      <c r="F433" t="s">
        <v>13</v>
      </c>
      <c r="G433" s="2">
        <v>1.1</v>
      </c>
      <c r="H433" s="3">
        <f>IF(OR(NOT(ISNUMBER($C433)),NOT(ISNUMBER($G433))),"",$C433*$G433)</f>
        <v>18.7</v>
      </c>
      <c r="I433" t="s">
        <v>14</v>
      </c>
    </row>
    <row r="434" spans="1:9" x14ac:dyDescent="0.25">
      <c r="A434" t="s">
        <v>171</v>
      </c>
      <c r="B434" t="s">
        <v>22</v>
      </c>
      <c r="C434" s="1">
        <v>1</v>
      </c>
      <c r="D434" t="s">
        <v>16</v>
      </c>
      <c r="E434" t="s">
        <v>70</v>
      </c>
      <c r="F434" t="s">
        <v>13</v>
      </c>
      <c r="G434" s="2">
        <v>3.64</v>
      </c>
      <c r="H434" s="3">
        <f>IF(OR(NOT(ISNUMBER($C434)),NOT(ISNUMBER($G434))),"",$C434*$G434)</f>
        <v>3.64</v>
      </c>
      <c r="I434" t="s">
        <v>14</v>
      </c>
    </row>
    <row r="435" spans="1:9" x14ac:dyDescent="0.25">
      <c r="A435" t="s">
        <v>171</v>
      </c>
      <c r="B435" t="s">
        <v>23</v>
      </c>
      <c r="C435" s="1">
        <v>300</v>
      </c>
      <c r="D435" t="s">
        <v>11</v>
      </c>
      <c r="E435" t="s">
        <v>70</v>
      </c>
      <c r="F435" t="s">
        <v>13</v>
      </c>
      <c r="G435" s="2">
        <v>0.0015</v>
      </c>
      <c r="H435" s="3">
        <f>IF(OR(NOT(ISNUMBER($C435)),NOT(ISNUMBER($G435))),"",$C435*$G435)</f>
        <v>0.45</v>
      </c>
      <c r="I435" t="s">
        <v>14</v>
      </c>
    </row>
    <row r="436" spans="1:9" x14ac:dyDescent="0.25">
      <c r="A436" t="s">
        <v>171</v>
      </c>
      <c r="B436" t="s">
        <v>81</v>
      </c>
      <c r="C436" s="1">
        <v>200</v>
      </c>
      <c r="D436" t="s">
        <v>19</v>
      </c>
      <c r="E436" t="s">
        <v>70</v>
      </c>
      <c r="F436" t="s">
        <v>13</v>
      </c>
      <c r="G436" s="2">
        <v>0.145</v>
      </c>
      <c r="H436" s="3">
        <f>IF(OR(NOT(ISNUMBER($C436)),NOT(ISNUMBER($G436))),"",$C436*$G436)</f>
        <v>29</v>
      </c>
      <c r="I436" t="s">
        <v>14</v>
      </c>
    </row>
    <row r="437" spans="1:9" x14ac:dyDescent="0.25">
      <c r="A437" t="s">
        <v>171</v>
      </c>
      <c r="B437" t="s">
        <v>24</v>
      </c>
      <c r="C437" s="1">
        <v>1</v>
      </c>
      <c r="D437" t="s">
        <v>16</v>
      </c>
      <c r="E437" t="s">
        <v>70</v>
      </c>
      <c r="F437" t="s">
        <v>13</v>
      </c>
      <c r="G437" s="2">
        <v>1.6429</v>
      </c>
      <c r="H437" s="3">
        <f>IF(OR(NOT(ISNUMBER($C437)),NOT(ISNUMBER($G437))),"",$C437*$G437)</f>
        <v>1.6429</v>
      </c>
      <c r="I437" t="s">
        <v>14</v>
      </c>
    </row>
    <row r="438" spans="1:9" x14ac:dyDescent="0.25">
      <c r="A438" t="s">
        <v>171</v>
      </c>
      <c r="B438" t="s">
        <v>168</v>
      </c>
      <c r="C438" s="1">
        <v>30</v>
      </c>
      <c r="D438" t="s">
        <v>19</v>
      </c>
      <c r="E438" t="s">
        <v>70</v>
      </c>
      <c r="F438" t="s">
        <v>13</v>
      </c>
      <c r="G438" s="2">
        <v>0.4425</v>
      </c>
      <c r="H438" s="3">
        <f>IF(OR(NOT(ISNUMBER($C438)),NOT(ISNUMBER($G438))),"",$C438*$G438)</f>
        <v>13.275</v>
      </c>
      <c r="I438" t="s">
        <v>14</v>
      </c>
    </row>
    <row r="439" spans="1:9" x14ac:dyDescent="0.25">
      <c r="A439" t="s">
        <v>171</v>
      </c>
      <c r="B439" t="s">
        <v>170</v>
      </c>
      <c r="C439" s="1">
        <v>30</v>
      </c>
      <c r="D439" t="s">
        <v>19</v>
      </c>
      <c r="E439" t="s">
        <v>70</v>
      </c>
      <c r="F439" t="s">
        <v>13</v>
      </c>
      <c r="G439" s="2">
        <v>0.695</v>
      </c>
      <c r="H439" s="3">
        <f>IF(OR(NOT(ISNUMBER($C439)),NOT(ISNUMBER($G439))),"",$C439*$G439)</f>
        <v>20.85</v>
      </c>
      <c r="I439" t="s">
        <v>14</v>
      </c>
    </row>
    <row r="440" spans="1:9" x14ac:dyDescent="0.25">
      <c r="A440" t="s">
        <v>172</v>
      </c>
      <c r="B440" t="s">
        <v>173</v>
      </c>
      <c r="C440" s="1">
        <v>100</v>
      </c>
      <c r="D440" t="s">
        <v>19</v>
      </c>
      <c r="E440" t="s">
        <v>70</v>
      </c>
      <c r="F440" t="s">
        <v>165</v>
      </c>
      <c r="G440" s="2">
        <v>0.0981</v>
      </c>
      <c r="H440" s="3">
        <f>IF(OR(NOT(ISNUMBER($C440)),NOT(ISNUMBER($G440))),"",$C440*$G440)</f>
        <v>9.81</v>
      </c>
      <c r="I440" t="s">
        <v>14</v>
      </c>
    </row>
    <row r="441" spans="1:9" x14ac:dyDescent="0.25">
      <c r="A441" t="s">
        <v>172</v>
      </c>
      <c r="B441" t="s">
        <v>22</v>
      </c>
      <c r="C441" s="1">
        <v>1</v>
      </c>
      <c r="D441" t="s">
        <v>16</v>
      </c>
      <c r="E441" t="s">
        <v>70</v>
      </c>
      <c r="F441" t="s">
        <v>13</v>
      </c>
      <c r="G441" s="2">
        <v>3.64</v>
      </c>
      <c r="H441" s="3">
        <f>IF(OR(NOT(ISNUMBER($C441)),NOT(ISNUMBER($G441))),"",$C441*$G441)</f>
        <v>3.64</v>
      </c>
      <c r="I441" t="s">
        <v>14</v>
      </c>
    </row>
    <row r="442" spans="1:9" x14ac:dyDescent="0.25">
      <c r="A442" t="s">
        <v>172</v>
      </c>
      <c r="B442" t="s">
        <v>27</v>
      </c>
      <c r="C442" s="1">
        <v>100</v>
      </c>
      <c r="D442" t="s">
        <v>19</v>
      </c>
      <c r="E442" t="s">
        <v>70</v>
      </c>
      <c r="F442" t="s">
        <v>13</v>
      </c>
      <c r="G442" s="2">
        <v>0.09</v>
      </c>
      <c r="H442" s="3">
        <f>IF(OR(NOT(ISNUMBER($C442)),NOT(ISNUMBER($G442))),"",$C442*$G442)</f>
        <v>9</v>
      </c>
      <c r="I442" t="s">
        <v>14</v>
      </c>
    </row>
    <row r="443" spans="1:9" x14ac:dyDescent="0.25">
      <c r="A443" t="s">
        <v>172</v>
      </c>
      <c r="B443" t="s">
        <v>23</v>
      </c>
      <c r="C443" s="1">
        <v>225</v>
      </c>
      <c r="D443" t="s">
        <v>11</v>
      </c>
      <c r="E443" t="s">
        <v>70</v>
      </c>
      <c r="F443" t="s">
        <v>13</v>
      </c>
      <c r="G443" s="2">
        <v>0.0015</v>
      </c>
      <c r="H443" s="3">
        <f>IF(OR(NOT(ISNUMBER($C443)),NOT(ISNUMBER($G443))),"",$C443*$G443)</f>
        <v>0.3375</v>
      </c>
      <c r="I443" t="s">
        <v>14</v>
      </c>
    </row>
    <row r="444" spans="1:9" x14ac:dyDescent="0.25">
      <c r="A444" t="s">
        <v>172</v>
      </c>
      <c r="B444" t="s">
        <v>34</v>
      </c>
      <c r="C444" s="1">
        <v>15</v>
      </c>
      <c r="D444" t="s">
        <v>19</v>
      </c>
      <c r="E444" t="s">
        <v>70</v>
      </c>
      <c r="F444" t="s">
        <v>13</v>
      </c>
      <c r="G444" s="2">
        <v>0.146</v>
      </c>
      <c r="H444" s="3">
        <f>IF(OR(NOT(ISNUMBER($C444)),NOT(ISNUMBER($G444))),"",$C444*$G444)</f>
        <v>2.19</v>
      </c>
      <c r="I444" t="s">
        <v>14</v>
      </c>
    </row>
    <row r="445" spans="1:9" x14ac:dyDescent="0.25">
      <c r="A445" t="s">
        <v>172</v>
      </c>
      <c r="B445" t="s">
        <v>24</v>
      </c>
      <c r="C445" s="1">
        <v>1</v>
      </c>
      <c r="D445" t="s">
        <v>16</v>
      </c>
      <c r="E445" t="s">
        <v>70</v>
      </c>
      <c r="F445" t="s">
        <v>13</v>
      </c>
      <c r="G445" s="2">
        <v>1.6429</v>
      </c>
      <c r="H445" s="3">
        <f>IF(OR(NOT(ISNUMBER($C445)),NOT(ISNUMBER($G445))),"",$C445*$G445)</f>
        <v>1.6429</v>
      </c>
      <c r="I445" t="s">
        <v>14</v>
      </c>
    </row>
    <row r="446" spans="1:9" x14ac:dyDescent="0.25">
      <c r="A446" t="s">
        <v>172</v>
      </c>
      <c r="B446" t="s">
        <v>168</v>
      </c>
      <c r="C446" s="1">
        <v>40</v>
      </c>
      <c r="D446" t="s">
        <v>19</v>
      </c>
      <c r="E446" t="s">
        <v>70</v>
      </c>
      <c r="F446" t="s">
        <v>13</v>
      </c>
      <c r="G446" s="2">
        <v>0.4425</v>
      </c>
      <c r="H446" s="3">
        <f>IF(OR(NOT(ISNUMBER($C446)),NOT(ISNUMBER($G446))),"",$C446*$G446)</f>
        <v>17.7</v>
      </c>
      <c r="I446" t="s">
        <v>14</v>
      </c>
    </row>
    <row r="447" spans="1:9" x14ac:dyDescent="0.25">
      <c r="A447" t="s">
        <v>174</v>
      </c>
      <c r="B447" t="s">
        <v>10</v>
      </c>
      <c r="C447" s="1">
        <v>17</v>
      </c>
      <c r="D447" t="s">
        <v>11</v>
      </c>
      <c r="E447" t="s">
        <v>77</v>
      </c>
      <c r="F447" t="s">
        <v>13</v>
      </c>
      <c r="G447" s="2">
        <v>1.1</v>
      </c>
      <c r="H447" s="3">
        <f>IF(OR(NOT(ISNUMBER($C447)),NOT(ISNUMBER($G447))),"",$C447*$G447)</f>
        <v>18.7</v>
      </c>
      <c r="I447" t="s">
        <v>14</v>
      </c>
    </row>
    <row r="448" spans="1:9" x14ac:dyDescent="0.25">
      <c r="A448" t="s">
        <v>174</v>
      </c>
      <c r="B448" t="s">
        <v>27</v>
      </c>
      <c r="C448" s="1">
        <v>200</v>
      </c>
      <c r="D448" t="s">
        <v>19</v>
      </c>
      <c r="E448" t="s">
        <v>77</v>
      </c>
      <c r="F448" t="s">
        <v>13</v>
      </c>
      <c r="G448" s="2">
        <v>0.09</v>
      </c>
      <c r="H448" s="3">
        <f>IF(OR(NOT(ISNUMBER($C448)),NOT(ISNUMBER($G448))),"",$C448*$G448)</f>
        <v>18</v>
      </c>
      <c r="I448" t="s">
        <v>14</v>
      </c>
    </row>
    <row r="449" spans="1:9" x14ac:dyDescent="0.25">
      <c r="A449" t="s">
        <v>174</v>
      </c>
      <c r="B449" t="s">
        <v>15</v>
      </c>
      <c r="C449" s="1">
        <v>1</v>
      </c>
      <c r="D449" t="s">
        <v>16</v>
      </c>
      <c r="E449" t="s">
        <v>77</v>
      </c>
      <c r="F449" t="s">
        <v>13</v>
      </c>
      <c r="G449" s="2">
        <v>5</v>
      </c>
      <c r="H449" s="3">
        <f>IF(OR(NOT(ISNUMBER($C449)),NOT(ISNUMBER($G449))),"",$C449*$G449)</f>
        <v>5</v>
      </c>
      <c r="I449" t="s">
        <v>14</v>
      </c>
    </row>
    <row r="450" spans="1:9" x14ac:dyDescent="0.25">
      <c r="A450" t="s">
        <v>174</v>
      </c>
      <c r="B450" t="s">
        <v>17</v>
      </c>
      <c r="C450" s="1">
        <v>1</v>
      </c>
      <c r="D450" t="s">
        <v>16</v>
      </c>
      <c r="E450" t="s">
        <v>77</v>
      </c>
      <c r="F450" t="s">
        <v>13</v>
      </c>
      <c r="G450" s="2">
        <v>1.6</v>
      </c>
      <c r="H450" s="3">
        <f>IF(OR(NOT(ISNUMBER($C450)),NOT(ISNUMBER($G450))),"",$C450*$G450)</f>
        <v>1.6</v>
      </c>
      <c r="I450" t="s">
        <v>14</v>
      </c>
    </row>
    <row r="451" spans="1:9" x14ac:dyDescent="0.25">
      <c r="A451" t="s">
        <v>174</v>
      </c>
      <c r="B451" t="s">
        <v>75</v>
      </c>
      <c r="C451" s="1">
        <v>30</v>
      </c>
      <c r="D451" t="s">
        <v>19</v>
      </c>
      <c r="E451" t="s">
        <v>77</v>
      </c>
      <c r="F451" t="s">
        <v>13</v>
      </c>
      <c r="G451" s="2">
        <v>0.72</v>
      </c>
      <c r="H451" s="3">
        <f>IF(OR(NOT(ISNUMBER($C451)),NOT(ISNUMBER($G451))),"",$C451*$G451)</f>
        <v>21.6</v>
      </c>
      <c r="I451" t="s">
        <v>14</v>
      </c>
    </row>
    <row r="452" spans="1:9" x14ac:dyDescent="0.25">
      <c r="A452" t="s">
        <v>174</v>
      </c>
      <c r="B452" t="s">
        <v>29</v>
      </c>
      <c r="C452" s="1">
        <v>30</v>
      </c>
      <c r="D452" t="s">
        <v>19</v>
      </c>
      <c r="E452" t="s">
        <v>77</v>
      </c>
      <c r="F452" t="s">
        <v>13</v>
      </c>
      <c r="G452" s="2">
        <v>0.0806</v>
      </c>
      <c r="H452" s="3">
        <f>IF(OR(NOT(ISNUMBER($C452)),NOT(ISNUMBER($G452))),"",$C452*$G452)</f>
        <v>2.418</v>
      </c>
      <c r="I452" t="s">
        <v>14</v>
      </c>
    </row>
    <row r="453" spans="1:9" x14ac:dyDescent="0.25">
      <c r="A453" t="s">
        <v>175</v>
      </c>
      <c r="B453" t="s">
        <v>10</v>
      </c>
      <c r="C453" s="1">
        <v>17</v>
      </c>
      <c r="D453" t="s">
        <v>11</v>
      </c>
      <c r="E453" t="s">
        <v>79</v>
      </c>
      <c r="F453" t="s">
        <v>13</v>
      </c>
      <c r="G453" s="2">
        <v>1.1</v>
      </c>
      <c r="H453" s="3">
        <f>IF(OR(NOT(ISNUMBER($C453)),NOT(ISNUMBER($G453))),"",$C453*$G453)</f>
        <v>18.7</v>
      </c>
      <c r="I453" t="s">
        <v>14</v>
      </c>
    </row>
    <row r="454" spans="1:9" x14ac:dyDescent="0.25">
      <c r="A454" t="s">
        <v>175</v>
      </c>
      <c r="B454" t="s">
        <v>22</v>
      </c>
      <c r="C454" s="1">
        <v>1</v>
      </c>
      <c r="D454" t="s">
        <v>16</v>
      </c>
      <c r="E454" t="s">
        <v>79</v>
      </c>
      <c r="F454" t="s">
        <v>13</v>
      </c>
      <c r="G454" s="2">
        <v>3.64</v>
      </c>
      <c r="H454" s="3">
        <f>IF(OR(NOT(ISNUMBER($C454)),NOT(ISNUMBER($G454))),"",$C454*$G454)</f>
        <v>3.64</v>
      </c>
      <c r="I454" t="s">
        <v>14</v>
      </c>
    </row>
    <row r="455" spans="1:9" x14ac:dyDescent="0.25">
      <c r="A455" t="s">
        <v>175</v>
      </c>
      <c r="B455" t="s">
        <v>27</v>
      </c>
      <c r="C455" s="1">
        <v>150</v>
      </c>
      <c r="D455" t="s">
        <v>19</v>
      </c>
      <c r="E455" t="s">
        <v>79</v>
      </c>
      <c r="F455" t="s">
        <v>13</v>
      </c>
      <c r="G455" s="2">
        <v>0.09</v>
      </c>
      <c r="H455" s="3">
        <f>IF(OR(NOT(ISNUMBER($C455)),NOT(ISNUMBER($G455))),"",$C455*$G455)</f>
        <v>13.5</v>
      </c>
      <c r="I455" t="s">
        <v>14</v>
      </c>
    </row>
    <row r="456" spans="1:9" x14ac:dyDescent="0.25">
      <c r="A456" t="s">
        <v>175</v>
      </c>
      <c r="B456" t="s">
        <v>23</v>
      </c>
      <c r="C456" s="1">
        <v>300</v>
      </c>
      <c r="D456" t="s">
        <v>11</v>
      </c>
      <c r="E456" t="s">
        <v>79</v>
      </c>
      <c r="F456" t="s">
        <v>13</v>
      </c>
      <c r="G456" s="2">
        <v>0.0015</v>
      </c>
      <c r="H456" s="3">
        <f>IF(OR(NOT(ISNUMBER($C456)),NOT(ISNUMBER($G456))),"",$C456*$G456)</f>
        <v>0.45</v>
      </c>
      <c r="I456" t="s">
        <v>14</v>
      </c>
    </row>
    <row r="457" spans="1:9" x14ac:dyDescent="0.25">
      <c r="A457" t="s">
        <v>175</v>
      </c>
      <c r="B457" t="s">
        <v>24</v>
      </c>
      <c r="C457" s="1">
        <v>1</v>
      </c>
      <c r="D457" t="s">
        <v>16</v>
      </c>
      <c r="E457" t="s">
        <v>79</v>
      </c>
      <c r="F457" t="s">
        <v>13</v>
      </c>
      <c r="G457" s="2">
        <v>1.6429</v>
      </c>
      <c r="H457" s="3">
        <f>IF(OR(NOT(ISNUMBER($C457)),NOT(ISNUMBER($G457))),"",$C457*$G457)</f>
        <v>1.6429</v>
      </c>
      <c r="I457" t="s">
        <v>14</v>
      </c>
    </row>
    <row r="458" spans="1:9" x14ac:dyDescent="0.25">
      <c r="A458" t="s">
        <v>175</v>
      </c>
      <c r="B458" t="s">
        <v>75</v>
      </c>
      <c r="C458" s="1">
        <v>30</v>
      </c>
      <c r="D458" t="s">
        <v>19</v>
      </c>
      <c r="E458" t="s">
        <v>79</v>
      </c>
      <c r="F458" t="s">
        <v>13</v>
      </c>
      <c r="G458" s="2">
        <v>0.72</v>
      </c>
      <c r="H458" s="3">
        <f>IF(OR(NOT(ISNUMBER($C458)),NOT(ISNUMBER($G458))),"",$C458*$G458)</f>
        <v>21.6</v>
      </c>
      <c r="I458" t="s">
        <v>14</v>
      </c>
    </row>
    <row r="459" spans="1:9" x14ac:dyDescent="0.25">
      <c r="A459" t="s">
        <v>175</v>
      </c>
      <c r="B459" t="s">
        <v>29</v>
      </c>
      <c r="C459" s="1">
        <v>30</v>
      </c>
      <c r="D459" t="s">
        <v>19</v>
      </c>
      <c r="E459" t="s">
        <v>79</v>
      </c>
      <c r="F459" t="s">
        <v>13</v>
      </c>
      <c r="G459" s="2">
        <v>0.0806</v>
      </c>
      <c r="H459" s="3">
        <f>IF(OR(NOT(ISNUMBER($C459)),NOT(ISNUMBER($G459))),"",$C459*$G459)</f>
        <v>2.418</v>
      </c>
      <c r="I459" t="s">
        <v>14</v>
      </c>
    </row>
    <row r="460" spans="1:9" x14ac:dyDescent="0.25">
      <c r="A460" t="s">
        <v>176</v>
      </c>
      <c r="B460" t="s">
        <v>22</v>
      </c>
      <c r="C460" s="1">
        <v>1</v>
      </c>
      <c r="D460" t="s">
        <v>16</v>
      </c>
      <c r="E460" t="s">
        <v>79</v>
      </c>
      <c r="F460" t="s">
        <v>13</v>
      </c>
      <c r="G460" s="2">
        <v>3.64</v>
      </c>
      <c r="H460" s="3">
        <f>IF(OR(NOT(ISNUMBER($C460)),NOT(ISNUMBER($G460))),"",$C460*$G460)</f>
        <v>3.64</v>
      </c>
      <c r="I460" t="s">
        <v>14</v>
      </c>
    </row>
    <row r="461" spans="1:9" x14ac:dyDescent="0.25">
      <c r="A461" t="s">
        <v>176</v>
      </c>
      <c r="B461" t="s">
        <v>23</v>
      </c>
      <c r="C461" s="1">
        <v>300</v>
      </c>
      <c r="D461" t="s">
        <v>11</v>
      </c>
      <c r="E461" t="s">
        <v>79</v>
      </c>
      <c r="F461" t="s">
        <v>13</v>
      </c>
      <c r="G461" s="2">
        <v>0.0015</v>
      </c>
      <c r="H461" s="3">
        <f>IF(OR(NOT(ISNUMBER($C461)),NOT(ISNUMBER($G461))),"",$C461*$G461)</f>
        <v>0.45</v>
      </c>
      <c r="I461" t="s">
        <v>14</v>
      </c>
    </row>
    <row r="462" spans="1:9" x14ac:dyDescent="0.25">
      <c r="A462" t="s">
        <v>176</v>
      </c>
      <c r="B462" t="s">
        <v>177</v>
      </c>
      <c r="C462" s="1">
        <v>70</v>
      </c>
      <c r="D462" t="s">
        <v>19</v>
      </c>
      <c r="E462" t="s">
        <v>79</v>
      </c>
      <c r="F462" t="s">
        <v>13</v>
      </c>
      <c r="G462" s="2">
        <v>0.2671</v>
      </c>
      <c r="H462" s="3">
        <f>IF(OR(NOT(ISNUMBER($C462)),NOT(ISNUMBER($G462))),"",$C462*$G462)</f>
        <v>18.697</v>
      </c>
      <c r="I462" t="s">
        <v>14</v>
      </c>
    </row>
    <row r="463" spans="1:9" x14ac:dyDescent="0.25">
      <c r="A463" t="s">
        <v>176</v>
      </c>
      <c r="B463" t="s">
        <v>24</v>
      </c>
      <c r="C463" s="1">
        <v>1</v>
      </c>
      <c r="D463" t="s">
        <v>16</v>
      </c>
      <c r="E463" t="s">
        <v>79</v>
      </c>
      <c r="F463" t="s">
        <v>13</v>
      </c>
      <c r="G463" s="2">
        <v>1.6429</v>
      </c>
      <c r="H463" s="3">
        <f>IF(OR(NOT(ISNUMBER($C463)),NOT(ISNUMBER($G463))),"",$C463*$G463)</f>
        <v>1.6429</v>
      </c>
      <c r="I463" t="s">
        <v>14</v>
      </c>
    </row>
    <row r="464" spans="1:9" x14ac:dyDescent="0.25">
      <c r="A464" t="s">
        <v>178</v>
      </c>
      <c r="B464" t="s">
        <v>10</v>
      </c>
      <c r="C464" s="1">
        <v>17</v>
      </c>
      <c r="D464" t="s">
        <v>11</v>
      </c>
      <c r="E464" t="s">
        <v>74</v>
      </c>
      <c r="F464" t="s">
        <v>13</v>
      </c>
      <c r="G464" s="2">
        <v>1.1</v>
      </c>
      <c r="H464" s="3">
        <f>IF(OR(NOT(ISNUMBER($C464)),NOT(ISNUMBER($G464))),"",$C464*$G464)</f>
        <v>18.7</v>
      </c>
      <c r="I464" t="s">
        <v>14</v>
      </c>
    </row>
    <row r="465" spans="1:9" x14ac:dyDescent="0.25">
      <c r="A465" t="s">
        <v>178</v>
      </c>
      <c r="B465" t="s">
        <v>22</v>
      </c>
      <c r="C465" s="1">
        <v>1</v>
      </c>
      <c r="D465" t="s">
        <v>16</v>
      </c>
      <c r="E465" t="s">
        <v>74</v>
      </c>
      <c r="F465" t="s">
        <v>13</v>
      </c>
      <c r="G465" s="2">
        <v>3.64</v>
      </c>
      <c r="H465" s="3">
        <f>IF(OR(NOT(ISNUMBER($C465)),NOT(ISNUMBER($G465))),"",$C465*$G465)</f>
        <v>3.64</v>
      </c>
      <c r="I465" t="s">
        <v>14</v>
      </c>
    </row>
    <row r="466" spans="1:9" x14ac:dyDescent="0.25">
      <c r="A466" t="s">
        <v>178</v>
      </c>
      <c r="B466" t="s">
        <v>38</v>
      </c>
      <c r="C466" s="1">
        <v>1</v>
      </c>
      <c r="D466" t="s">
        <v>16</v>
      </c>
      <c r="E466" t="s">
        <v>74</v>
      </c>
      <c r="F466" t="s">
        <v>13</v>
      </c>
      <c r="G466" s="2">
        <v>1.86</v>
      </c>
      <c r="H466" s="3">
        <f>IF(OR(NOT(ISNUMBER($C466)),NOT(ISNUMBER($G466))),"",$C466*$G466)</f>
        <v>1.86</v>
      </c>
      <c r="I466" t="s">
        <v>14</v>
      </c>
    </row>
    <row r="467" spans="1:9" x14ac:dyDescent="0.25">
      <c r="A467" t="s">
        <v>178</v>
      </c>
      <c r="B467" t="s">
        <v>27</v>
      </c>
      <c r="C467" s="1">
        <v>100</v>
      </c>
      <c r="D467" t="s">
        <v>19</v>
      </c>
      <c r="E467" t="s">
        <v>74</v>
      </c>
      <c r="F467" t="s">
        <v>13</v>
      </c>
      <c r="G467" s="2">
        <v>0.09</v>
      </c>
      <c r="H467" s="3">
        <f>IF(OR(NOT(ISNUMBER($C467)),NOT(ISNUMBER($G467))),"",$C467*$G467)</f>
        <v>9</v>
      </c>
      <c r="I467" t="s">
        <v>14</v>
      </c>
    </row>
    <row r="468" spans="1:9" x14ac:dyDescent="0.25">
      <c r="A468" t="s">
        <v>178</v>
      </c>
      <c r="B468" t="s">
        <v>39</v>
      </c>
      <c r="C468" s="1">
        <v>30</v>
      </c>
      <c r="D468" t="s">
        <v>11</v>
      </c>
      <c r="E468" t="s">
        <v>74</v>
      </c>
      <c r="F468" t="s">
        <v>13</v>
      </c>
      <c r="G468" s="2">
        <v>0.7253</v>
      </c>
      <c r="H468" s="3">
        <f>IF(OR(NOT(ISNUMBER($C468)),NOT(ISNUMBER($G468))),"",$C468*$G468)</f>
        <v>21.759</v>
      </c>
      <c r="I468" t="s">
        <v>14</v>
      </c>
    </row>
    <row r="469" spans="1:9" x14ac:dyDescent="0.25">
      <c r="A469" t="s">
        <v>178</v>
      </c>
      <c r="B469" t="s">
        <v>23</v>
      </c>
      <c r="C469" s="1">
        <v>300</v>
      </c>
      <c r="D469" t="s">
        <v>11</v>
      </c>
      <c r="E469" t="s">
        <v>74</v>
      </c>
      <c r="F469" t="s">
        <v>13</v>
      </c>
      <c r="G469" s="2">
        <v>0.0015</v>
      </c>
      <c r="H469" s="3">
        <f>IF(OR(NOT(ISNUMBER($C469)),NOT(ISNUMBER($G469))),"",$C469*$G469)</f>
        <v>0.45</v>
      </c>
      <c r="I469" t="s">
        <v>14</v>
      </c>
    </row>
    <row r="470" spans="1:9" x14ac:dyDescent="0.25">
      <c r="A470" t="s">
        <v>178</v>
      </c>
      <c r="B470" t="s">
        <v>40</v>
      </c>
      <c r="C470" s="1">
        <v>15</v>
      </c>
      <c r="D470" t="s">
        <v>11</v>
      </c>
      <c r="E470" t="s">
        <v>74</v>
      </c>
      <c r="F470" t="s">
        <v>13</v>
      </c>
      <c r="G470" s="2">
        <v>0.27</v>
      </c>
      <c r="H470" s="3">
        <f>IF(OR(NOT(ISNUMBER($C470)),NOT(ISNUMBER($G470))),"",$C470*$G470)</f>
        <v>4.05</v>
      </c>
      <c r="I470" t="s">
        <v>14</v>
      </c>
    </row>
    <row r="471" spans="1:9" x14ac:dyDescent="0.25">
      <c r="A471" t="s">
        <v>178</v>
      </c>
      <c r="B471" t="s">
        <v>170</v>
      </c>
      <c r="C471" s="1">
        <v>35</v>
      </c>
      <c r="D471" t="s">
        <v>19</v>
      </c>
      <c r="E471" t="s">
        <v>74</v>
      </c>
      <c r="F471" t="s">
        <v>13</v>
      </c>
      <c r="G471" s="2">
        <v>0.695</v>
      </c>
      <c r="H471" s="3">
        <f>IF(OR(NOT(ISNUMBER($C471)),NOT(ISNUMBER($G471))),"",$C471*$G471)</f>
        <v>24.325</v>
      </c>
      <c r="I471" t="s">
        <v>14</v>
      </c>
    </row>
    <row r="472" spans="1:9" x14ac:dyDescent="0.25">
      <c r="A472" t="s">
        <v>179</v>
      </c>
      <c r="B472" t="s">
        <v>173</v>
      </c>
      <c r="C472" s="1">
        <v>200</v>
      </c>
      <c r="D472" t="s">
        <v>19</v>
      </c>
      <c r="E472" t="s">
        <v>77</v>
      </c>
      <c r="F472" t="s">
        <v>165</v>
      </c>
      <c r="G472" s="2">
        <v>0.0981</v>
      </c>
      <c r="H472" s="3">
        <f>IF(OR(NOT(ISNUMBER($C472)),NOT(ISNUMBER($G472))),"",$C472*$G472)</f>
        <v>19.62</v>
      </c>
      <c r="I472" t="s">
        <v>14</v>
      </c>
    </row>
    <row r="473" spans="1:9" x14ac:dyDescent="0.25">
      <c r="A473" t="s">
        <v>179</v>
      </c>
      <c r="B473" t="s">
        <v>10</v>
      </c>
      <c r="C473" s="1">
        <v>17</v>
      </c>
      <c r="D473" t="s">
        <v>11</v>
      </c>
      <c r="E473" t="s">
        <v>77</v>
      </c>
      <c r="F473" t="s">
        <v>13</v>
      </c>
      <c r="G473" s="2">
        <v>1.1</v>
      </c>
      <c r="H473" s="3">
        <f>IF(OR(NOT(ISNUMBER($C473)),NOT(ISNUMBER($G473))),"",$C473*$G473)</f>
        <v>18.7</v>
      </c>
      <c r="I473" t="s">
        <v>14</v>
      </c>
    </row>
    <row r="474" spans="1:9" x14ac:dyDescent="0.25">
      <c r="A474" t="s">
        <v>179</v>
      </c>
      <c r="B474" t="s">
        <v>15</v>
      </c>
      <c r="C474" s="1">
        <v>1</v>
      </c>
      <c r="D474" t="s">
        <v>16</v>
      </c>
      <c r="E474" t="s">
        <v>77</v>
      </c>
      <c r="F474" t="s">
        <v>13</v>
      </c>
      <c r="G474" s="2">
        <v>5</v>
      </c>
      <c r="H474" s="3">
        <f>IF(OR(NOT(ISNUMBER($C474)),NOT(ISNUMBER($G474))),"",$C474*$G474)</f>
        <v>5</v>
      </c>
      <c r="I474" t="s">
        <v>14</v>
      </c>
    </row>
    <row r="475" spans="1:9" x14ac:dyDescent="0.25">
      <c r="A475" t="s">
        <v>179</v>
      </c>
      <c r="B475" t="s">
        <v>17</v>
      </c>
      <c r="C475" s="1">
        <v>1</v>
      </c>
      <c r="D475" t="s">
        <v>16</v>
      </c>
      <c r="E475" t="s">
        <v>77</v>
      </c>
      <c r="F475" t="s">
        <v>13</v>
      </c>
      <c r="G475" s="2">
        <v>1.6</v>
      </c>
      <c r="H475" s="3">
        <f>IF(OR(NOT(ISNUMBER($C475)),NOT(ISNUMBER($G475))),"",$C475*$G475)</f>
        <v>1.6</v>
      </c>
      <c r="I475" t="s">
        <v>14</v>
      </c>
    </row>
    <row r="476" spans="1:9" x14ac:dyDescent="0.25">
      <c r="A476" t="s">
        <v>180</v>
      </c>
      <c r="B476" t="s">
        <v>173</v>
      </c>
      <c r="C476" s="1">
        <v>150</v>
      </c>
      <c r="D476" t="s">
        <v>19</v>
      </c>
      <c r="E476" t="s">
        <v>79</v>
      </c>
      <c r="F476" t="s">
        <v>165</v>
      </c>
      <c r="G476" s="2">
        <v>0.0981</v>
      </c>
      <c r="H476" s="3">
        <f>IF(OR(NOT(ISNUMBER($C476)),NOT(ISNUMBER($G476))),"",$C476*$G476)</f>
        <v>14.715</v>
      </c>
      <c r="I476" t="s">
        <v>14</v>
      </c>
    </row>
    <row r="477" spans="1:9" x14ac:dyDescent="0.25">
      <c r="A477" t="s">
        <v>180</v>
      </c>
      <c r="B477" t="s">
        <v>10</v>
      </c>
      <c r="C477" s="1">
        <v>17</v>
      </c>
      <c r="D477" t="s">
        <v>11</v>
      </c>
      <c r="E477" t="s">
        <v>79</v>
      </c>
      <c r="F477" t="s">
        <v>13</v>
      </c>
      <c r="G477" s="2">
        <v>1.1</v>
      </c>
      <c r="H477" s="3">
        <f>IF(OR(NOT(ISNUMBER($C477)),NOT(ISNUMBER($G477))),"",$C477*$G477)</f>
        <v>18.7</v>
      </c>
      <c r="I477" t="s">
        <v>14</v>
      </c>
    </row>
    <row r="478" spans="1:9" x14ac:dyDescent="0.25">
      <c r="A478" t="s">
        <v>180</v>
      </c>
      <c r="B478" t="s">
        <v>22</v>
      </c>
      <c r="C478" s="1">
        <v>1</v>
      </c>
      <c r="D478" t="s">
        <v>16</v>
      </c>
      <c r="E478" t="s">
        <v>79</v>
      </c>
      <c r="F478" t="s">
        <v>13</v>
      </c>
      <c r="G478" s="2">
        <v>3.64</v>
      </c>
      <c r="H478" s="3">
        <f>IF(OR(NOT(ISNUMBER($C478)),NOT(ISNUMBER($G478))),"",$C478*$G478)</f>
        <v>3.64</v>
      </c>
      <c r="I478" t="s">
        <v>14</v>
      </c>
    </row>
    <row r="479" spans="1:9" x14ac:dyDescent="0.25">
      <c r="A479" t="s">
        <v>180</v>
      </c>
      <c r="B479" t="s">
        <v>23</v>
      </c>
      <c r="C479" s="1">
        <v>300</v>
      </c>
      <c r="D479" t="s">
        <v>11</v>
      </c>
      <c r="E479" t="s">
        <v>79</v>
      </c>
      <c r="F479" t="s">
        <v>13</v>
      </c>
      <c r="G479" s="2">
        <v>0.0015</v>
      </c>
      <c r="H479" s="3">
        <f>IF(OR(NOT(ISNUMBER($C479)),NOT(ISNUMBER($G479))),"",$C479*$G479)</f>
        <v>0.45</v>
      </c>
      <c r="I479" t="s">
        <v>14</v>
      </c>
    </row>
    <row r="480" spans="1:9" x14ac:dyDescent="0.25">
      <c r="A480" t="s">
        <v>180</v>
      </c>
      <c r="B480" t="s">
        <v>24</v>
      </c>
      <c r="C480" s="1">
        <v>1</v>
      </c>
      <c r="D480" t="s">
        <v>16</v>
      </c>
      <c r="E480" t="s">
        <v>79</v>
      </c>
      <c r="F480" t="s">
        <v>13</v>
      </c>
      <c r="G480" s="2">
        <v>1.6429</v>
      </c>
      <c r="H480" s="3">
        <f>IF(OR(NOT(ISNUMBER($C480)),NOT(ISNUMBER($G480))),"",$C480*$G480)</f>
        <v>1.6429</v>
      </c>
      <c r="I48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4" style="3" customWidth="1"/>
    <col min="4" max="4" width="16" style="3" customWidth="1"/>
    <col min="5" max="5" width="14" style="3" customWidth="1"/>
    <col min="6" max="6" width="10" style="4" customWidth="1"/>
    <col min="7" max="7" width="13" customWidth="1"/>
    <col min="8" max="9" width="18" customWidth="1"/>
  </cols>
  <sheetData>
    <row r="1" spans="1:9" x14ac:dyDescent="0.25">
      <c r="A1" t="s">
        <v>4</v>
      </c>
      <c r="B1" t="s">
        <v>181</v>
      </c>
      <c r="C1" s="3" t="s">
        <v>182</v>
      </c>
      <c r="D1" s="3" t="s">
        <v>183</v>
      </c>
      <c r="E1" s="3" t="s">
        <v>184</v>
      </c>
      <c r="F1" s="4" t="s">
        <v>185</v>
      </c>
      <c r="G1" t="s">
        <v>186</v>
      </c>
      <c r="H1" t="s">
        <v>187</v>
      </c>
      <c r="I1" t="s">
        <v>188</v>
      </c>
    </row>
    <row r="2" spans="1:9" x14ac:dyDescent="0.25">
      <c r="A2" t="s">
        <v>12</v>
      </c>
      <c r="B2" t="s">
        <v>9</v>
      </c>
      <c r="C2" s="3">
        <v>80</v>
      </c>
      <c r="D2" s="3">
        <f>SUMPRODUCT((Recipes!$A$2:$A$480=$B2)*IF(ISNUMBER(Recipes!$H$2:$H$480),Recipes!$H$2:$H$480,0))</f>
        <v>25.9</v>
      </c>
      <c r="E2" s="3">
        <f>IF($D2="","",$C2-$D2)</f>
        <v>54.1</v>
      </c>
      <c r="F2" s="4">
        <f>IF(OR($I2&lt;&gt;"Yes",$C2&lt;=0),"",($C2-$D2)/$C2)</f>
        <v>0.67625</v>
      </c>
      <c r="G2">
        <f>SUMPRODUCT((Recipes!$A$2:$A$480=$B2)*1)</f>
        <v>4</v>
      </c>
      <c r="H2">
        <f>SUMPRODUCT((Recipes!$A$2:$A$480=$B2)*(Recipes!$I$2:$I$480="No price yet"))</f>
        <v>0</v>
      </c>
      <c r="I2" t="str">
        <f>IF($H2&gt;0,"No","Yes")</f>
        <v>Yes</v>
      </c>
    </row>
    <row r="3" spans="1:9" x14ac:dyDescent="0.25">
      <c r="A3" t="s">
        <v>21</v>
      </c>
      <c r="B3" t="s">
        <v>20</v>
      </c>
      <c r="C3" s="3">
        <v>100</v>
      </c>
      <c r="D3" s="3">
        <f>SUMPRODUCT((Recipes!$A$2:$A$480=$B3)*IF(ISNUMBER(Recipes!$H$2:$H$480),Recipes!$H$2:$H$480,0))</f>
        <v>24.73</v>
      </c>
      <c r="E3" s="3">
        <f>IF($D3="","",$C3-$D3)</f>
        <v>75.27</v>
      </c>
      <c r="F3" s="4">
        <f>IF(OR($I3&lt;&gt;"Yes",$C3&lt;=0),"",($C3-$D3)/$C3)</f>
        <v>0.752671</v>
      </c>
      <c r="G3">
        <f>SUMPRODUCT((Recipes!$A$2:$A$480=$B3)*1)</f>
        <v>5</v>
      </c>
      <c r="H3">
        <f>SUMPRODUCT((Recipes!$A$2:$A$480=$B3)*(Recipes!$I$2:$I$480="No price yet"))</f>
        <v>0</v>
      </c>
      <c r="I3" t="str">
        <f>IF($H3&gt;0,"No","Yes")</f>
        <v>Yes</v>
      </c>
    </row>
    <row r="4" spans="1:9" x14ac:dyDescent="0.25">
      <c r="A4" t="s">
        <v>26</v>
      </c>
      <c r="B4" t="s">
        <v>25</v>
      </c>
      <c r="C4" s="3">
        <v>149</v>
      </c>
      <c r="D4" s="3">
        <f>SUMPRODUCT((Recipes!$A$2:$A$480=$B4)*IF(ISNUMBER(Recipes!$H$2:$H$480),Recipes!$H$2:$H$480,0))</f>
        <v>47.84</v>
      </c>
      <c r="E4" s="3">
        <f>IF($D4="","",$C4-$D4)</f>
        <v>101.16</v>
      </c>
      <c r="F4" s="4">
        <f>IF(OR($I4&lt;&gt;"Yes",$C4&lt;=0),"",($C4-$D4)/$C4)</f>
        <v>0.678893</v>
      </c>
      <c r="G4">
        <f>SUMPRODUCT((Recipes!$A$2:$A$480=$B4)*1)</f>
        <v>7</v>
      </c>
      <c r="H4">
        <f>SUMPRODUCT((Recipes!$A$2:$A$480=$B4)*(Recipes!$I$2:$I$480="No price yet"))</f>
        <v>0</v>
      </c>
      <c r="I4" t="str">
        <f>IF($H4&gt;0,"No","Yes")</f>
        <v>Yes</v>
      </c>
    </row>
    <row r="5" spans="1:9" x14ac:dyDescent="0.25">
      <c r="A5" t="s">
        <v>26</v>
      </c>
      <c r="B5" t="s">
        <v>31</v>
      </c>
      <c r="C5" s="3">
        <v>159</v>
      </c>
      <c r="D5" s="3">
        <f>SUMPRODUCT((Recipes!$A$2:$A$480=$B5)*IF(ISNUMBER(Recipes!$H$2:$H$480),Recipes!$H$2:$H$480,0))</f>
        <v>69.43</v>
      </c>
      <c r="E5" s="3">
        <f>IF($D5="","",$C5-$D5)</f>
        <v>89.57</v>
      </c>
      <c r="F5" s="4">
        <f>IF(OR($I5&lt;&gt;"Yes",$C5&lt;=0),"",($C5-$D5)/$C5)</f>
        <v>0.563354</v>
      </c>
      <c r="G5">
        <f>SUMPRODUCT((Recipes!$A$2:$A$480=$B5)*1)</f>
        <v>9</v>
      </c>
      <c r="H5">
        <f>SUMPRODUCT((Recipes!$A$2:$A$480=$B5)*(Recipes!$I$2:$I$480="No price yet"))</f>
        <v>0</v>
      </c>
      <c r="I5" t="str">
        <f>IF($H5&gt;0,"No","Yes")</f>
        <v>Yes</v>
      </c>
    </row>
    <row r="6" spans="1:9" x14ac:dyDescent="0.25">
      <c r="A6" t="s">
        <v>36</v>
      </c>
      <c r="B6" t="s">
        <v>35</v>
      </c>
      <c r="C6" s="3">
        <v>179</v>
      </c>
      <c r="D6" s="3">
        <f>SUMPRODUCT((Recipes!$A$2:$A$480=$B6)*IF(ISNUMBER(Recipes!$H$2:$H$480),Recipes!$H$2:$H$480,0))</f>
        <v>72.51</v>
      </c>
      <c r="E6" s="3">
        <f>IF($D6="","",$C6-$D6)</f>
        <v>106.49</v>
      </c>
      <c r="F6" s="4">
        <f>IF(OR($I6&lt;&gt;"Yes",$C6&lt;=0),"",($C6-$D6)/$C6)</f>
        <v>0.594919</v>
      </c>
      <c r="G6">
        <f>SUMPRODUCT((Recipes!$A$2:$A$480=$B6)*1)</f>
        <v>10</v>
      </c>
      <c r="H6">
        <f>SUMPRODUCT((Recipes!$A$2:$A$480=$B6)*(Recipes!$I$2:$I$480="No price yet"))</f>
        <v>0</v>
      </c>
      <c r="I6" t="str">
        <f>IF($H6&gt;0,"No","Yes")</f>
        <v>Yes</v>
      </c>
    </row>
    <row r="7" spans="1:9" x14ac:dyDescent="0.25">
      <c r="A7" t="s">
        <v>36</v>
      </c>
      <c r="B7" t="s">
        <v>41</v>
      </c>
      <c r="C7" s="3">
        <v>149</v>
      </c>
      <c r="D7" s="3">
        <f>SUMPRODUCT((Recipes!$A$2:$A$480=$B7)*IF(ISNUMBER(Recipes!$H$2:$H$480),Recipes!$H$2:$H$480,0))</f>
        <v>48.49</v>
      </c>
      <c r="E7" s="3">
        <f>IF($D7="","",$C7-$D7)</f>
        <v>100.51</v>
      </c>
      <c r="F7" s="4">
        <f>IF(OR($I7&lt;&gt;"Yes",$C7&lt;=0),"",($C7-$D7)/$C7)</f>
        <v>0.674581</v>
      </c>
      <c r="G7">
        <f>SUMPRODUCT((Recipes!$A$2:$A$480=$B7)*1)</f>
        <v>8</v>
      </c>
      <c r="H7">
        <f>SUMPRODUCT((Recipes!$A$2:$A$480=$B7)*(Recipes!$I$2:$I$480="No price yet"))</f>
        <v>0</v>
      </c>
      <c r="I7" t="str">
        <f>IF($H7&gt;0,"No","Yes")</f>
        <v>Yes</v>
      </c>
    </row>
    <row r="8" spans="1:9" x14ac:dyDescent="0.25">
      <c r="A8" t="s">
        <v>45</v>
      </c>
      <c r="B8" t="s">
        <v>44</v>
      </c>
      <c r="C8" s="3">
        <v>70</v>
      </c>
      <c r="D8" s="3">
        <f>SUMPRODUCT((Recipes!$A$2:$A$480=$B8)*IF(ISNUMBER(Recipes!$H$2:$H$480),Recipes!$H$2:$H$480,0))</f>
        <v>26.76</v>
      </c>
      <c r="E8" s="3">
        <f>IF($D8="","",$C8-$D8)</f>
        <v>43.24</v>
      </c>
      <c r="F8" s="4">
        <f>IF(OR($I8&lt;&gt;"Yes",$C8&lt;=0),"",($C8-$D8)/$C8)</f>
        <v>0.617644</v>
      </c>
      <c r="G8">
        <f>SUMPRODUCT((Recipes!$A$2:$A$480=$B8)*1)</f>
        <v>8</v>
      </c>
      <c r="H8">
        <f>SUMPRODUCT((Recipes!$A$2:$A$480=$B8)*(Recipes!$I$2:$I$480="No price yet"))</f>
        <v>0</v>
      </c>
      <c r="I8" t="str">
        <f>IF($H8&gt;0,"No","Yes")</f>
        <v>Yes</v>
      </c>
    </row>
    <row r="9" spans="1:9" x14ac:dyDescent="0.25">
      <c r="A9" t="s">
        <v>26</v>
      </c>
      <c r="B9" t="s">
        <v>49</v>
      </c>
      <c r="C9" s="3">
        <v>139</v>
      </c>
      <c r="D9" s="3">
        <f>SUMPRODUCT((Recipes!$A$2:$A$480=$B9)*IF(ISNUMBER(Recipes!$H$2:$H$480),Recipes!$H$2:$H$480,0))</f>
        <v>36.98</v>
      </c>
      <c r="E9" s="3">
        <f>IF($D9="","",$C9-$D9)</f>
        <v>102.02</v>
      </c>
      <c r="F9" s="4">
        <f>IF(OR($I9&lt;&gt;"Yes",$C9&lt;=0),"",($C9-$D9)/$C9)</f>
        <v>0.733965</v>
      </c>
      <c r="G9">
        <f>SUMPRODUCT((Recipes!$A$2:$A$480=$B9)*1)</f>
        <v>7</v>
      </c>
      <c r="H9">
        <f>SUMPRODUCT((Recipes!$A$2:$A$480=$B9)*(Recipes!$I$2:$I$480="No price yet"))</f>
        <v>0</v>
      </c>
      <c r="I9" t="str">
        <f>IF($H9&gt;0,"No","Yes")</f>
        <v>Yes</v>
      </c>
    </row>
    <row r="10" spans="1:9" x14ac:dyDescent="0.25">
      <c r="A10" t="s">
        <v>52</v>
      </c>
      <c r="B10" t="s">
        <v>50</v>
      </c>
      <c r="C10" s="3">
        <v>150</v>
      </c>
      <c r="D10" s="3">
        <f>SUMPRODUCT((Recipes!$A$2:$A$480=$B10)*IF(ISNUMBER(Recipes!$H$2:$H$480),Recipes!$H$2:$H$480,0))</f>
        <v>28.48</v>
      </c>
      <c r="E10" s="3">
        <f>IF($D10="","",$C10-$D10)</f>
        <v>121.52</v>
      </c>
      <c r="F10" s="4" t="str">
        <f>IF(OR($I10&lt;&gt;"Yes",$C10&lt;=0),"",($C10-$D10)/$C10)</f>
        <v/>
      </c>
      <c r="G10">
        <f>SUMPRODUCT((Recipes!$A$2:$A$480=$B10)*1)</f>
        <v>11</v>
      </c>
      <c r="H10">
        <f>SUMPRODUCT((Recipes!$A$2:$A$480=$B10)*(Recipes!$I$2:$I$480="No price yet"))</f>
        <v>6</v>
      </c>
      <c r="I10" t="str">
        <f>IF($H10&gt;0,"No","Yes")</f>
        <v>No</v>
      </c>
    </row>
    <row r="11" spans="1:9" x14ac:dyDescent="0.25">
      <c r="A11" t="s">
        <v>12</v>
      </c>
      <c r="B11" t="s">
        <v>64</v>
      </c>
      <c r="C11" s="3">
        <v>120</v>
      </c>
      <c r="D11" s="3">
        <f>SUMPRODUCT((Recipes!$A$2:$A$480=$B11)*IF(ISNUMBER(Recipes!$H$2:$H$480),Recipes!$H$2:$H$480,0))</f>
        <v>43.3</v>
      </c>
      <c r="E11" s="3">
        <f>IF($D11="","",$C11-$D11)</f>
        <v>76.7</v>
      </c>
      <c r="F11" s="4">
        <f>IF(OR($I11&lt;&gt;"Yes",$C11&lt;=0),"",($C11-$D11)/$C11)</f>
        <v>0.639167</v>
      </c>
      <c r="G11">
        <f>SUMPRODUCT((Recipes!$A$2:$A$480=$B11)*1)</f>
        <v>4</v>
      </c>
      <c r="H11">
        <f>SUMPRODUCT((Recipes!$A$2:$A$480=$B11)*(Recipes!$I$2:$I$480="No price yet"))</f>
        <v>0</v>
      </c>
      <c r="I11" t="str">
        <f>IF($H11&gt;0,"No","Yes")</f>
        <v>Yes</v>
      </c>
    </row>
    <row r="12" spans="1:9" x14ac:dyDescent="0.25">
      <c r="A12" t="s">
        <v>21</v>
      </c>
      <c r="B12" t="s">
        <v>65</v>
      </c>
      <c r="C12" s="3">
        <v>120</v>
      </c>
      <c r="D12" s="3">
        <f>SUMPRODUCT((Recipes!$A$2:$A$480=$B12)*IF(ISNUMBER(Recipes!$H$2:$H$480),Recipes!$H$2:$H$480,0))</f>
        <v>37.93</v>
      </c>
      <c r="E12" s="3">
        <f>IF($D12="","",$C12-$D12)</f>
        <v>82.07</v>
      </c>
      <c r="F12" s="4">
        <f>IF(OR($I12&lt;&gt;"Yes",$C12&lt;=0),"",($C12-$D12)/$C12)</f>
        <v>0.683893</v>
      </c>
      <c r="G12">
        <f>SUMPRODUCT((Recipes!$A$2:$A$480=$B12)*1)</f>
        <v>5</v>
      </c>
      <c r="H12">
        <f>SUMPRODUCT((Recipes!$A$2:$A$480=$B12)*(Recipes!$I$2:$I$480="No price yet"))</f>
        <v>0</v>
      </c>
      <c r="I12" t="str">
        <f>IF($H12&gt;0,"No","Yes")</f>
        <v>Yes</v>
      </c>
    </row>
    <row r="13" spans="1:9" x14ac:dyDescent="0.25">
      <c r="A13" t="s">
        <v>67</v>
      </c>
      <c r="B13" t="s">
        <v>66</v>
      </c>
      <c r="C13" s="3">
        <v>130</v>
      </c>
      <c r="D13" s="3">
        <f>SUMPRODUCT((Recipes!$A$2:$A$480=$B13)*IF(ISNUMBER(Recipes!$H$2:$H$480),Recipes!$H$2:$H$480,0))</f>
        <v>61.56</v>
      </c>
      <c r="E13" s="3">
        <f>IF($D13="","",$C13-$D13)</f>
        <v>68.44</v>
      </c>
      <c r="F13" s="4">
        <f>IF(OR($I13&lt;&gt;"Yes",$C13&lt;=0),"",($C13-$D13)/$C13)</f>
        <v>0.5265</v>
      </c>
      <c r="G13">
        <f>SUMPRODUCT((Recipes!$A$2:$A$480=$B13)*1)</f>
        <v>5</v>
      </c>
      <c r="H13">
        <f>SUMPRODUCT((Recipes!$A$2:$A$480=$B13)*(Recipes!$I$2:$I$480="No price yet"))</f>
        <v>0</v>
      </c>
      <c r="I13" t="str">
        <f>IF($H13&gt;0,"No","Yes")</f>
        <v>Yes</v>
      </c>
    </row>
    <row r="14" spans="1:9" x14ac:dyDescent="0.25">
      <c r="A14" t="s">
        <v>70</v>
      </c>
      <c r="B14" t="s">
        <v>69</v>
      </c>
      <c r="C14" s="3">
        <v>150</v>
      </c>
      <c r="D14" s="3">
        <f>SUMPRODUCT((Recipes!$A$2:$A$480=$B14)*IF(ISNUMBER(Recipes!$H$2:$H$480),Recipes!$H$2:$H$480,0))</f>
        <v>56.19</v>
      </c>
      <c r="E14" s="3">
        <f>IF($D14="","",$C14-$D14)</f>
        <v>93.81</v>
      </c>
      <c r="F14" s="4">
        <f>IF(OR($I14&lt;&gt;"Yes",$C14&lt;=0),"",($C14-$D14)/$C14)</f>
        <v>0.625414</v>
      </c>
      <c r="G14">
        <f>SUMPRODUCT((Recipes!$A$2:$A$480=$B14)*1)</f>
        <v>6</v>
      </c>
      <c r="H14">
        <f>SUMPRODUCT((Recipes!$A$2:$A$480=$B14)*(Recipes!$I$2:$I$480="No price yet"))</f>
        <v>0</v>
      </c>
      <c r="I14" t="str">
        <f>IF($H14&gt;0,"No","Yes")</f>
        <v>Yes</v>
      </c>
    </row>
    <row r="15" spans="1:9" x14ac:dyDescent="0.25">
      <c r="A15" t="s">
        <v>12</v>
      </c>
      <c r="B15" t="s">
        <v>71</v>
      </c>
      <c r="C15" s="3">
        <v>120</v>
      </c>
      <c r="D15" s="3">
        <f>SUMPRODUCT((Recipes!$A$2:$A$480=$B15)*IF(ISNUMBER(Recipes!$H$2:$H$480),Recipes!$H$2:$H$480,0))</f>
        <v>43.3</v>
      </c>
      <c r="E15" s="3">
        <f>IF($D15="","",$C15-$D15)</f>
        <v>76.7</v>
      </c>
      <c r="F15" s="4">
        <f>IF(OR($I15&lt;&gt;"Yes",$C15&lt;=0),"",($C15-$D15)/$C15)</f>
        <v>0.639167</v>
      </c>
      <c r="G15">
        <f>SUMPRODUCT((Recipes!$A$2:$A$480=$B15)*1)</f>
        <v>4</v>
      </c>
      <c r="H15">
        <f>SUMPRODUCT((Recipes!$A$2:$A$480=$B15)*(Recipes!$I$2:$I$480="No price yet"))</f>
        <v>0</v>
      </c>
      <c r="I15" t="str">
        <f>IF($H15&gt;0,"No","Yes")</f>
        <v>Yes</v>
      </c>
    </row>
    <row r="16" spans="1:9" x14ac:dyDescent="0.25">
      <c r="A16" t="s">
        <v>74</v>
      </c>
      <c r="B16" t="s">
        <v>72</v>
      </c>
      <c r="C16" s="3">
        <v>209</v>
      </c>
      <c r="D16" s="3">
        <f>SUMPRODUCT((Recipes!$A$2:$A$480=$B16)*IF(ISNUMBER(Recipes!$H$2:$H$480),Recipes!$H$2:$H$480,0))</f>
        <v>71.56</v>
      </c>
      <c r="E16" s="3">
        <f>IF($D16="","",$C16-$D16)</f>
        <v>137.44</v>
      </c>
      <c r="F16" s="4">
        <f>IF(OR($I16&lt;&gt;"Yes",$C16&lt;=0),"",($C16-$D16)/$C16)</f>
        <v>0.657612</v>
      </c>
      <c r="G16">
        <f>SUMPRODUCT((Recipes!$A$2:$A$480=$B16)*1)</f>
        <v>8</v>
      </c>
      <c r="H16">
        <f>SUMPRODUCT((Recipes!$A$2:$A$480=$B16)*(Recipes!$I$2:$I$480="No price yet"))</f>
        <v>0</v>
      </c>
      <c r="I16" t="str">
        <f>IF($H16&gt;0,"No","Yes")</f>
        <v>Yes</v>
      </c>
    </row>
    <row r="17" spans="1:9" x14ac:dyDescent="0.25">
      <c r="A17" t="s">
        <v>77</v>
      </c>
      <c r="B17" t="s">
        <v>76</v>
      </c>
      <c r="C17" s="3">
        <v>139</v>
      </c>
      <c r="D17" s="3">
        <f>SUMPRODUCT((Recipes!$A$2:$A$480=$B17)*IF(ISNUMBER(Recipes!$H$2:$H$480),Recipes!$H$2:$H$480,0))</f>
        <v>54.1</v>
      </c>
      <c r="E17" s="3">
        <f>IF($D17="","",$C17-$D17)</f>
        <v>84.9</v>
      </c>
      <c r="F17" s="4">
        <f>IF(OR($I17&lt;&gt;"Yes",$C17&lt;=0),"",($C17-$D17)/$C17)</f>
        <v>0.610791</v>
      </c>
      <c r="G17">
        <f>SUMPRODUCT((Recipes!$A$2:$A$480=$B17)*1)</f>
        <v>5</v>
      </c>
      <c r="H17">
        <f>SUMPRODUCT((Recipes!$A$2:$A$480=$B17)*(Recipes!$I$2:$I$480="No price yet"))</f>
        <v>0</v>
      </c>
      <c r="I17" t="str">
        <f>IF($H17&gt;0,"No","Yes")</f>
        <v>Yes</v>
      </c>
    </row>
    <row r="18" spans="1:9" x14ac:dyDescent="0.25">
      <c r="A18" t="s">
        <v>79</v>
      </c>
      <c r="B18" t="s">
        <v>78</v>
      </c>
      <c r="C18" s="3">
        <v>159</v>
      </c>
      <c r="D18" s="3">
        <f>SUMPRODUCT((Recipes!$A$2:$A$480=$B18)*IF(ISNUMBER(Recipes!$H$2:$H$480),Recipes!$H$2:$H$480,0))</f>
        <v>48.73</v>
      </c>
      <c r="E18" s="3">
        <f>IF($D18="","",$C18-$D18)</f>
        <v>110.27</v>
      </c>
      <c r="F18" s="4">
        <f>IF(OR($I18&lt;&gt;"Yes",$C18&lt;=0),"",($C18-$D18)/$C18)</f>
        <v>0.693504</v>
      </c>
      <c r="G18">
        <f>SUMPRODUCT((Recipes!$A$2:$A$480=$B18)*1)</f>
        <v>6</v>
      </c>
      <c r="H18">
        <f>SUMPRODUCT((Recipes!$A$2:$A$480=$B18)*(Recipes!$I$2:$I$480="No price yet"))</f>
        <v>0</v>
      </c>
      <c r="I18" t="str">
        <f>IF($H18&gt;0,"No","Yes")</f>
        <v>Yes</v>
      </c>
    </row>
    <row r="19" spans="1:9" x14ac:dyDescent="0.25">
      <c r="A19" t="s">
        <v>79</v>
      </c>
      <c r="B19" t="s">
        <v>80</v>
      </c>
      <c r="C19" s="3">
        <v>189</v>
      </c>
      <c r="D19" s="3">
        <f>SUMPRODUCT((Recipes!$A$2:$A$480=$B19)*IF(ISNUMBER(Recipes!$H$2:$H$480),Recipes!$H$2:$H$480,0))</f>
        <v>48.37</v>
      </c>
      <c r="E19" s="3">
        <f>IF($D19="","",$C19-$D19)</f>
        <v>140.63</v>
      </c>
      <c r="F19" s="4">
        <f>IF(OR($I19&lt;&gt;"Yes",$C19&lt;=0),"",($C19-$D19)/$C19)</f>
        <v>0.744059</v>
      </c>
      <c r="G19">
        <f>SUMPRODUCT((Recipes!$A$2:$A$480=$B19)*1)</f>
        <v>6</v>
      </c>
      <c r="H19">
        <f>SUMPRODUCT((Recipes!$A$2:$A$480=$B19)*(Recipes!$I$2:$I$480="No price yet"))</f>
        <v>0</v>
      </c>
      <c r="I19" t="str">
        <f>IF($H19&gt;0,"No","Yes")</f>
        <v>Yes</v>
      </c>
    </row>
    <row r="20" spans="1:9" x14ac:dyDescent="0.25">
      <c r="A20" t="s">
        <v>77</v>
      </c>
      <c r="B20" t="s">
        <v>82</v>
      </c>
      <c r="C20" s="3">
        <v>139</v>
      </c>
      <c r="D20" s="3">
        <f>SUMPRODUCT((Recipes!$A$2:$A$480=$B20)*IF(ISNUMBER(Recipes!$H$2:$H$480),Recipes!$H$2:$H$480,0))</f>
        <v>43.3</v>
      </c>
      <c r="E20" s="3">
        <f>IF($D20="","",$C20-$D20)</f>
        <v>95.7</v>
      </c>
      <c r="F20" s="4">
        <f>IF(OR($I20&lt;&gt;"Yes",$C20&lt;=0),"",($C20-$D20)/$C20)</f>
        <v>0.688489</v>
      </c>
      <c r="G20">
        <f>SUMPRODUCT((Recipes!$A$2:$A$480=$B20)*1)</f>
        <v>4</v>
      </c>
      <c r="H20">
        <f>SUMPRODUCT((Recipes!$A$2:$A$480=$B20)*(Recipes!$I$2:$I$480="No price yet"))</f>
        <v>0</v>
      </c>
      <c r="I20" t="str">
        <f>IF($H20&gt;0,"No","Yes")</f>
        <v>Yes</v>
      </c>
    </row>
    <row r="21" spans="1:9" x14ac:dyDescent="0.25">
      <c r="A21" t="s">
        <v>79</v>
      </c>
      <c r="B21" t="s">
        <v>83</v>
      </c>
      <c r="C21" s="3">
        <v>159</v>
      </c>
      <c r="D21" s="3">
        <f>SUMPRODUCT((Recipes!$A$2:$A$480=$B21)*IF(ISNUMBER(Recipes!$H$2:$H$480),Recipes!$H$2:$H$480,0))</f>
        <v>37.93</v>
      </c>
      <c r="E21" s="3">
        <f>IF($D21="","",$C21-$D21)</f>
        <v>121.07</v>
      </c>
      <c r="F21" s="4">
        <f>IF(OR($I21&lt;&gt;"Yes",$C21&lt;=0),"",($C21-$D21)/$C21)</f>
        <v>0.761428</v>
      </c>
      <c r="G21">
        <f>SUMPRODUCT((Recipes!$A$2:$A$480=$B21)*1)</f>
        <v>5</v>
      </c>
      <c r="H21">
        <f>SUMPRODUCT((Recipes!$A$2:$A$480=$B21)*(Recipes!$I$2:$I$480="No price yet"))</f>
        <v>0</v>
      </c>
      <c r="I21" t="str">
        <f>IF($H21&gt;0,"No","Yes")</f>
        <v>Yes</v>
      </c>
    </row>
    <row r="22" spans="1:9" x14ac:dyDescent="0.25">
      <c r="A22" t="s">
        <v>86</v>
      </c>
      <c r="B22" t="s">
        <v>84</v>
      </c>
      <c r="C22" s="3">
        <v>180</v>
      </c>
      <c r="D22" s="3">
        <f>SUMPRODUCT((Recipes!$A$2:$A$480=$B22)*IF(ISNUMBER(Recipes!$H$2:$H$480),Recipes!$H$2:$H$480,0))</f>
        <v>116.11</v>
      </c>
      <c r="E22" s="3">
        <f>IF($D22="","",$C22-$D22)</f>
        <v>63.89</v>
      </c>
      <c r="F22" s="4">
        <f>IF(OR($I22&lt;&gt;"Yes",$C22&lt;=0),"",($C22-$D22)/$C22)</f>
        <v>0.354933</v>
      </c>
      <c r="G22">
        <f>SUMPRODUCT((Recipes!$A$2:$A$480=$B22)*1)</f>
        <v>6</v>
      </c>
      <c r="H22">
        <f>SUMPRODUCT((Recipes!$A$2:$A$480=$B22)*(Recipes!$I$2:$I$480="No price yet"))</f>
        <v>0</v>
      </c>
      <c r="I22" t="str">
        <f>IF($H22&gt;0,"No","Yes")</f>
        <v>Yes</v>
      </c>
    </row>
    <row r="23" spans="1:9" x14ac:dyDescent="0.25">
      <c r="A23" t="s">
        <v>89</v>
      </c>
      <c r="B23" t="s">
        <v>88</v>
      </c>
      <c r="C23" s="3">
        <v>200</v>
      </c>
      <c r="D23" s="3">
        <f>SUMPRODUCT((Recipes!$A$2:$A$480=$B23)*IF(ISNUMBER(Recipes!$H$2:$H$480),Recipes!$H$2:$H$480,0))</f>
        <v>89.15</v>
      </c>
      <c r="E23" s="3">
        <f>IF($D23="","",$C23-$D23)</f>
        <v>110.85</v>
      </c>
      <c r="F23" s="4">
        <f>IF(OR($I23&lt;&gt;"Yes",$C23&lt;=0),"",($C23-$D23)/$C23)</f>
        <v>0.554226</v>
      </c>
      <c r="G23">
        <f>SUMPRODUCT((Recipes!$A$2:$A$480=$B23)*1)</f>
        <v>6</v>
      </c>
      <c r="H23">
        <f>SUMPRODUCT((Recipes!$A$2:$A$480=$B23)*(Recipes!$I$2:$I$480="No price yet"))</f>
        <v>0</v>
      </c>
      <c r="I23" t="str">
        <f>IF($H23&gt;0,"No","Yes")</f>
        <v>Yes</v>
      </c>
    </row>
    <row r="24" spans="1:9" x14ac:dyDescent="0.25">
      <c r="A24" t="s">
        <v>12</v>
      </c>
      <c r="B24" t="s">
        <v>91</v>
      </c>
      <c r="C24" s="3">
        <v>120</v>
      </c>
      <c r="D24" s="3">
        <f>SUMPRODUCT((Recipes!$A$2:$A$480=$B24)*IF(ISNUMBER(Recipes!$H$2:$H$480),Recipes!$H$2:$H$480,0))</f>
        <v>43.3</v>
      </c>
      <c r="E24" s="3">
        <f>IF($D24="","",$C24-$D24)</f>
        <v>76.7</v>
      </c>
      <c r="F24" s="4">
        <f>IF(OR($I24&lt;&gt;"Yes",$C24&lt;=0),"",($C24-$D24)/$C24)</f>
        <v>0.639167</v>
      </c>
      <c r="G24">
        <f>SUMPRODUCT((Recipes!$A$2:$A$480=$B24)*1)</f>
        <v>4</v>
      </c>
      <c r="H24">
        <f>SUMPRODUCT((Recipes!$A$2:$A$480=$B24)*(Recipes!$I$2:$I$480="No price yet"))</f>
        <v>0</v>
      </c>
      <c r="I24" t="str">
        <f>IF($H24&gt;0,"No","Yes")</f>
        <v>Yes</v>
      </c>
    </row>
    <row r="25" spans="1:9" x14ac:dyDescent="0.25">
      <c r="A25" t="s">
        <v>52</v>
      </c>
      <c r="B25" t="s">
        <v>92</v>
      </c>
      <c r="C25" s="3">
        <v>150</v>
      </c>
      <c r="D25" s="3">
        <f>SUMPRODUCT((Recipes!$A$2:$A$480=$B25)*IF(ISNUMBER(Recipes!$H$2:$H$480),Recipes!$H$2:$H$480,0))</f>
        <v>17.28</v>
      </c>
      <c r="E25" s="3">
        <f>IF($D25="","",$C25-$D25)</f>
        <v>132.72</v>
      </c>
      <c r="F25" s="4" t="str">
        <f>IF(OR($I25&lt;&gt;"Yes",$C25&lt;=0),"",($C25-$D25)/$C25)</f>
        <v/>
      </c>
      <c r="G25">
        <f>SUMPRODUCT((Recipes!$A$2:$A$480=$B25)*1)</f>
        <v>4</v>
      </c>
      <c r="H25">
        <f>SUMPRODUCT((Recipes!$A$2:$A$480=$B25)*(Recipes!$I$2:$I$480="No price yet"))</f>
        <v>1</v>
      </c>
      <c r="I25" t="str">
        <f>IF($H25&gt;0,"No","Yes")</f>
        <v>No</v>
      </c>
    </row>
    <row r="26" spans="1:9" x14ac:dyDescent="0.25">
      <c r="A26" t="s">
        <v>52</v>
      </c>
      <c r="B26" t="s">
        <v>95</v>
      </c>
      <c r="C26" s="3">
        <v>150</v>
      </c>
      <c r="D26" s="3">
        <f>SUMPRODUCT((Recipes!$A$2:$A$480=$B26)*IF(ISNUMBER(Recipes!$H$2:$H$480),Recipes!$H$2:$H$480,0))</f>
        <v>15.1</v>
      </c>
      <c r="E26" s="3">
        <f>IF($D26="","",$C26-$D26)</f>
        <v>134.9</v>
      </c>
      <c r="F26" s="4" t="str">
        <f>IF(OR($I26&lt;&gt;"Yes",$C26&lt;=0),"",($C26-$D26)/$C26)</f>
        <v/>
      </c>
      <c r="G26">
        <f>SUMPRODUCT((Recipes!$A$2:$A$480=$B26)*1)</f>
        <v>6</v>
      </c>
      <c r="H26">
        <f>SUMPRODUCT((Recipes!$A$2:$A$480=$B26)*(Recipes!$I$2:$I$480="No price yet"))</f>
        <v>3</v>
      </c>
      <c r="I26" t="str">
        <f>IF($H26&gt;0,"No","Yes")</f>
        <v>No</v>
      </c>
    </row>
    <row r="27" spans="1:9" x14ac:dyDescent="0.25">
      <c r="A27" t="s">
        <v>74</v>
      </c>
      <c r="B27" t="s">
        <v>99</v>
      </c>
      <c r="C27" s="3">
        <v>209</v>
      </c>
      <c r="D27" s="3">
        <f>SUMPRODUCT((Recipes!$A$2:$A$480=$B27)*IF(ISNUMBER(Recipes!$H$2:$H$480),Recipes!$H$2:$H$480,0))</f>
        <v>86.7</v>
      </c>
      <c r="E27" s="3">
        <f>IF($D27="","",$C27-$D27)</f>
        <v>122.3</v>
      </c>
      <c r="F27" s="4">
        <f>IF(OR($I27&lt;&gt;"Yes",$C27&lt;=0),"",($C27-$D27)/$C27)</f>
        <v>0.585172</v>
      </c>
      <c r="G27">
        <f>SUMPRODUCT((Recipes!$A$2:$A$480=$B27)*1)</f>
        <v>8</v>
      </c>
      <c r="H27">
        <f>SUMPRODUCT((Recipes!$A$2:$A$480=$B27)*(Recipes!$I$2:$I$480="No price yet"))</f>
        <v>0</v>
      </c>
      <c r="I27" t="str">
        <f>IF($H27&gt;0,"No","Yes")</f>
        <v>Yes</v>
      </c>
    </row>
    <row r="28" spans="1:9" x14ac:dyDescent="0.25">
      <c r="A28" t="s">
        <v>67</v>
      </c>
      <c r="B28" t="s">
        <v>101</v>
      </c>
      <c r="C28" s="3">
        <v>130</v>
      </c>
      <c r="D28" s="3">
        <f>SUMPRODUCT((Recipes!$A$2:$A$480=$B28)*IF(ISNUMBER(Recipes!$H$2:$H$480),Recipes!$H$2:$H$480,0))</f>
        <v>67.32</v>
      </c>
      <c r="E28" s="3">
        <f>IF($D28="","",$C28-$D28)</f>
        <v>62.68</v>
      </c>
      <c r="F28" s="4">
        <f>IF(OR($I28&lt;&gt;"Yes",$C28&lt;=0),"",($C28-$D28)/$C28)</f>
        <v>0.482169</v>
      </c>
      <c r="G28">
        <f>SUMPRODUCT((Recipes!$A$2:$A$480=$B28)*1)</f>
        <v>6</v>
      </c>
      <c r="H28">
        <f>SUMPRODUCT((Recipes!$A$2:$A$480=$B28)*(Recipes!$I$2:$I$480="No price yet"))</f>
        <v>0</v>
      </c>
      <c r="I28" t="str">
        <f>IF($H28&gt;0,"No","Yes")</f>
        <v>Yes</v>
      </c>
    </row>
    <row r="29" spans="1:9" x14ac:dyDescent="0.25">
      <c r="A29" t="s">
        <v>70</v>
      </c>
      <c r="B29" t="s">
        <v>102</v>
      </c>
      <c r="C29" s="3">
        <v>150</v>
      </c>
      <c r="D29" s="3">
        <f>SUMPRODUCT((Recipes!$A$2:$A$480=$B29)*IF(ISNUMBER(Recipes!$H$2:$H$480),Recipes!$H$2:$H$480,0))</f>
        <v>61.95</v>
      </c>
      <c r="E29" s="3">
        <f>IF($D29="","",$C29-$D29)</f>
        <v>88.05</v>
      </c>
      <c r="F29" s="4">
        <f>IF(OR($I29&lt;&gt;"Yes",$C29&lt;=0),"",($C29-$D29)/$C29)</f>
        <v>0.586994</v>
      </c>
      <c r="G29">
        <f>SUMPRODUCT((Recipes!$A$2:$A$480=$B29)*1)</f>
        <v>7</v>
      </c>
      <c r="H29">
        <f>SUMPRODUCT((Recipes!$A$2:$A$480=$B29)*(Recipes!$I$2:$I$480="No price yet"))</f>
        <v>0</v>
      </c>
      <c r="I29" t="str">
        <f>IF($H29&gt;0,"No","Yes")</f>
        <v>Yes</v>
      </c>
    </row>
    <row r="30" spans="1:9" x14ac:dyDescent="0.25">
      <c r="A30" t="s">
        <v>67</v>
      </c>
      <c r="B30" t="s">
        <v>103</v>
      </c>
      <c r="C30" s="3">
        <v>130</v>
      </c>
      <c r="D30" s="3">
        <f>SUMPRODUCT((Recipes!$A$2:$A$480=$B30)*IF(ISNUMBER(Recipes!$H$2:$H$480),Recipes!$H$2:$H$480,0))</f>
        <v>83.16</v>
      </c>
      <c r="E30" s="3">
        <f>IF($D30="","",$C30-$D30)</f>
        <v>46.84</v>
      </c>
      <c r="F30" s="4">
        <f>IF(OR($I30&lt;&gt;"Yes",$C30&lt;=0),"",($C30-$D30)/$C30)</f>
        <v>0.360346</v>
      </c>
      <c r="G30">
        <f>SUMPRODUCT((Recipes!$A$2:$A$480=$B30)*1)</f>
        <v>6</v>
      </c>
      <c r="H30">
        <f>SUMPRODUCT((Recipes!$A$2:$A$480=$B30)*(Recipes!$I$2:$I$480="No price yet"))</f>
        <v>0</v>
      </c>
      <c r="I30" t="str">
        <f>IF($H30&gt;0,"No","Yes")</f>
        <v>Yes</v>
      </c>
    </row>
    <row r="31" spans="1:9" x14ac:dyDescent="0.25">
      <c r="A31" t="s">
        <v>70</v>
      </c>
      <c r="B31" t="s">
        <v>104</v>
      </c>
      <c r="C31" s="3">
        <v>150</v>
      </c>
      <c r="D31" s="3">
        <f>SUMPRODUCT((Recipes!$A$2:$A$480=$B31)*IF(ISNUMBER(Recipes!$H$2:$H$480),Recipes!$H$2:$H$480,0))</f>
        <v>77.79</v>
      </c>
      <c r="E31" s="3">
        <f>IF($D31="","",$C31-$D31)</f>
        <v>72.21</v>
      </c>
      <c r="F31" s="4">
        <f>IF(OR($I31&lt;&gt;"Yes",$C31&lt;=0),"",($C31-$D31)/$C31)</f>
        <v>0.481414</v>
      </c>
      <c r="G31">
        <f>SUMPRODUCT((Recipes!$A$2:$A$480=$B31)*1)</f>
        <v>7</v>
      </c>
      <c r="H31">
        <f>SUMPRODUCT((Recipes!$A$2:$A$480=$B31)*(Recipes!$I$2:$I$480="No price yet"))</f>
        <v>0</v>
      </c>
      <c r="I31" t="str">
        <f>IF($H31&gt;0,"No","Yes")</f>
        <v>Yes</v>
      </c>
    </row>
    <row r="32" spans="1:9" x14ac:dyDescent="0.25">
      <c r="A32" t="s">
        <v>52</v>
      </c>
      <c r="B32" t="s">
        <v>105</v>
      </c>
      <c r="C32" s="3">
        <v>175</v>
      </c>
      <c r="D32" s="3">
        <f>SUMPRODUCT((Recipes!$A$2:$A$480=$B32)*IF(ISNUMBER(Recipes!$H$2:$H$480),Recipes!$H$2:$H$480,0))</f>
        <v>54.89</v>
      </c>
      <c r="E32" s="3">
        <f>IF($D32="","",$C32-$D32)</f>
        <v>120.11</v>
      </c>
      <c r="F32" s="4" t="str">
        <f>IF(OR($I32&lt;&gt;"Yes",$C32&lt;=0),"",($C32-$D32)/$C32)</f>
        <v/>
      </c>
      <c r="G32">
        <f>SUMPRODUCT((Recipes!$A$2:$A$480=$B32)*1)</f>
        <v>13</v>
      </c>
      <c r="H32">
        <f>SUMPRODUCT((Recipes!$A$2:$A$480=$B32)*(Recipes!$I$2:$I$480="No price yet"))</f>
        <v>10</v>
      </c>
      <c r="I32" t="str">
        <f>IF($H32&gt;0,"No","Yes")</f>
        <v>No</v>
      </c>
    </row>
    <row r="33" spans="1:9" x14ac:dyDescent="0.25">
      <c r="A33" t="s">
        <v>86</v>
      </c>
      <c r="B33" t="s">
        <v>112</v>
      </c>
      <c r="C33" s="3">
        <v>200</v>
      </c>
      <c r="D33" s="3">
        <f>SUMPRODUCT((Recipes!$A$2:$A$480=$B33)*IF(ISNUMBER(Recipes!$H$2:$H$480),Recipes!$H$2:$H$480,0))</f>
        <v>74.06</v>
      </c>
      <c r="E33" s="3">
        <f>IF($D33="","",$C33-$D33)</f>
        <v>125.94</v>
      </c>
      <c r="F33" s="4">
        <f>IF(OR($I33&lt;&gt;"Yes",$C33&lt;=0),"",($C33-$D33)/$C33)</f>
        <v>0.6297</v>
      </c>
      <c r="G33">
        <f>SUMPRODUCT((Recipes!$A$2:$A$480=$B33)*1)</f>
        <v>5</v>
      </c>
      <c r="H33">
        <f>SUMPRODUCT((Recipes!$A$2:$A$480=$B33)*(Recipes!$I$2:$I$480="No price yet"))</f>
        <v>0</v>
      </c>
      <c r="I33" t="str">
        <f>IF($H33&gt;0,"No","Yes")</f>
        <v>Yes</v>
      </c>
    </row>
    <row r="34" spans="1:9" x14ac:dyDescent="0.25">
      <c r="A34" t="s">
        <v>89</v>
      </c>
      <c r="B34" t="s">
        <v>114</v>
      </c>
      <c r="C34" s="3">
        <v>230</v>
      </c>
      <c r="D34" s="3">
        <f>SUMPRODUCT((Recipes!$A$2:$A$480=$B34)*IF(ISNUMBER(Recipes!$H$2:$H$480),Recipes!$H$2:$H$480,0))</f>
        <v>65.8</v>
      </c>
      <c r="E34" s="3">
        <f>IF($D34="","",$C34-$D34)</f>
        <v>164.2</v>
      </c>
      <c r="F34" s="4">
        <f>IF(OR($I34&lt;&gt;"Yes",$C34&lt;=0),"",($C34-$D34)/$C34)</f>
        <v>0.7139</v>
      </c>
      <c r="G34">
        <f>SUMPRODUCT((Recipes!$A$2:$A$480=$B34)*1)</f>
        <v>6</v>
      </c>
      <c r="H34">
        <f>SUMPRODUCT((Recipes!$A$2:$A$480=$B34)*(Recipes!$I$2:$I$480="No price yet"))</f>
        <v>0</v>
      </c>
      <c r="I34" t="str">
        <f>IF($H34&gt;0,"No","Yes")</f>
        <v>Yes</v>
      </c>
    </row>
    <row r="35" spans="1:9" x14ac:dyDescent="0.25">
      <c r="A35" t="s">
        <v>52</v>
      </c>
      <c r="B35" t="s">
        <v>115</v>
      </c>
      <c r="C35" s="3">
        <v>150</v>
      </c>
      <c r="D35" s="3">
        <f>SUMPRODUCT((Recipes!$A$2:$A$480=$B35)*IF(ISNUMBER(Recipes!$H$2:$H$480),Recipes!$H$2:$H$480,0))</f>
        <v>0</v>
      </c>
      <c r="E35" s="3">
        <f>IF($D35="","",$C35-$D35)</f>
        <v>150</v>
      </c>
      <c r="F35" s="4" t="str">
        <f>IF(OR($I35&lt;&gt;"Yes",$C35&lt;=0),"",($C35-$D35)/$C35)</f>
        <v/>
      </c>
      <c r="G35">
        <f>SUMPRODUCT((Recipes!$A$2:$A$480=$B35)*1)</f>
        <v>2</v>
      </c>
      <c r="H35">
        <f>SUMPRODUCT((Recipes!$A$2:$A$480=$B35)*(Recipes!$I$2:$I$480="No price yet"))</f>
        <v>2</v>
      </c>
      <c r="I35" t="str">
        <f>IF($H35&gt;0,"No","Yes")</f>
        <v>No</v>
      </c>
    </row>
    <row r="36" spans="1:9" x14ac:dyDescent="0.25">
      <c r="A36" t="s">
        <v>74</v>
      </c>
      <c r="B36" t="s">
        <v>116</v>
      </c>
      <c r="C36" s="3">
        <v>209</v>
      </c>
      <c r="D36" s="3">
        <f>SUMPRODUCT((Recipes!$A$2:$A$480=$B36)*IF(ISNUMBER(Recipes!$H$2:$H$480),Recipes!$H$2:$H$480,0))</f>
        <v>94.3</v>
      </c>
      <c r="E36" s="3">
        <f>IF($D36="","",$C36-$D36)</f>
        <v>114.7</v>
      </c>
      <c r="F36" s="4">
        <f>IF(OR($I36&lt;&gt;"Yes",$C36&lt;=0),"",($C36-$D36)/$C36)</f>
        <v>0.548809</v>
      </c>
      <c r="G36">
        <f>SUMPRODUCT((Recipes!$A$2:$A$480=$B36)*1)</f>
        <v>9</v>
      </c>
      <c r="H36">
        <f>SUMPRODUCT((Recipes!$A$2:$A$480=$B36)*(Recipes!$I$2:$I$480="No price yet"))</f>
        <v>0</v>
      </c>
      <c r="I36" t="str">
        <f>IF($H36&gt;0,"No","Yes")</f>
        <v>Yes</v>
      </c>
    </row>
    <row r="37" spans="1:9" x14ac:dyDescent="0.25">
      <c r="A37" t="s">
        <v>45</v>
      </c>
      <c r="B37" t="s">
        <v>118</v>
      </c>
      <c r="C37" s="3">
        <v>70</v>
      </c>
      <c r="D37" s="3">
        <f>SUMPRODUCT((Recipes!$A$2:$A$480=$B37)*IF(ISNUMBER(Recipes!$H$2:$H$480),Recipes!$H$2:$H$480,0))</f>
        <v>26.13</v>
      </c>
      <c r="E37" s="3">
        <f>IF($D37="","",$C37-$D37)</f>
        <v>43.87</v>
      </c>
      <c r="F37" s="4">
        <f>IF(OR($I37&lt;&gt;"Yes",$C37&lt;=0),"",($C37-$D37)/$C37)</f>
        <v>0.62668</v>
      </c>
      <c r="G37">
        <f>SUMPRODUCT((Recipes!$A$2:$A$480=$B37)*1)</f>
        <v>7</v>
      </c>
      <c r="H37">
        <f>SUMPRODUCT((Recipes!$A$2:$A$480=$B37)*(Recipes!$I$2:$I$480="No price yet"))</f>
        <v>0</v>
      </c>
      <c r="I37" t="str">
        <f>IF($H37&gt;0,"No","Yes")</f>
        <v>Yes</v>
      </c>
    </row>
    <row r="38" spans="1:9" x14ac:dyDescent="0.25">
      <c r="A38" t="s">
        <v>12</v>
      </c>
      <c r="B38" t="s">
        <v>120</v>
      </c>
      <c r="C38" s="3">
        <v>80</v>
      </c>
      <c r="D38" s="3">
        <f>SUMPRODUCT((Recipes!$A$2:$A$480=$B38)*IF(ISNUMBER(Recipes!$H$2:$H$480),Recipes!$H$2:$H$480,0))</f>
        <v>62</v>
      </c>
      <c r="E38" s="3">
        <f>IF($D38="","",$C38-$D38)</f>
        <v>18</v>
      </c>
      <c r="F38" s="4">
        <f>IF(OR($I38&lt;&gt;"Yes",$C38&lt;=0),"",($C38-$D38)/$C38)</f>
        <v>0.225</v>
      </c>
      <c r="G38">
        <f>SUMPRODUCT((Recipes!$A$2:$A$480=$B38)*1)</f>
        <v>4</v>
      </c>
      <c r="H38">
        <f>SUMPRODUCT((Recipes!$A$2:$A$480=$B38)*(Recipes!$I$2:$I$480="No price yet"))</f>
        <v>0</v>
      </c>
      <c r="I38" t="str">
        <f>IF($H38&gt;0,"No","Yes")</f>
        <v>Yes</v>
      </c>
    </row>
    <row r="39" spans="1:9" x14ac:dyDescent="0.25">
      <c r="A39" t="s">
        <v>21</v>
      </c>
      <c r="B39" t="s">
        <v>121</v>
      </c>
      <c r="C39" s="3">
        <v>100</v>
      </c>
      <c r="D39" s="3">
        <f>SUMPRODUCT((Recipes!$A$2:$A$480=$B39)*IF(ISNUMBER(Recipes!$H$2:$H$480),Recipes!$H$2:$H$480,0))</f>
        <v>61.03</v>
      </c>
      <c r="E39" s="3">
        <f>IF($D39="","",$C39-$D39)</f>
        <v>38.97</v>
      </c>
      <c r="F39" s="4">
        <f>IF(OR($I39&lt;&gt;"Yes",$C39&lt;=0),"",($C39-$D39)/$C39)</f>
        <v>0.389671</v>
      </c>
      <c r="G39">
        <f>SUMPRODUCT((Recipes!$A$2:$A$480=$B39)*1)</f>
        <v>5</v>
      </c>
      <c r="H39">
        <f>SUMPRODUCT((Recipes!$A$2:$A$480=$B39)*(Recipes!$I$2:$I$480="No price yet"))</f>
        <v>0</v>
      </c>
      <c r="I39" t="str">
        <f>IF($H39&gt;0,"No","Yes")</f>
        <v>Yes</v>
      </c>
    </row>
    <row r="40" spans="1:9" x14ac:dyDescent="0.25">
      <c r="A40" t="s">
        <v>89</v>
      </c>
      <c r="B40" t="s">
        <v>122</v>
      </c>
      <c r="C40" s="3">
        <v>250</v>
      </c>
      <c r="D40" s="3">
        <f>SUMPRODUCT((Recipes!$A$2:$A$480=$B40)*IF(ISNUMBER(Recipes!$H$2:$H$480),Recipes!$H$2:$H$480,0))</f>
        <v>94.95</v>
      </c>
      <c r="E40" s="3">
        <f>IF($D40="","",$C40-$D40)</f>
        <v>155.05</v>
      </c>
      <c r="F40" s="4">
        <f>IF(OR($I40&lt;&gt;"Yes",$C40&lt;=0),"",($C40-$D40)/$C40)</f>
        <v>0.62018</v>
      </c>
      <c r="G40">
        <f>SUMPRODUCT((Recipes!$A$2:$A$480=$B40)*1)</f>
        <v>8</v>
      </c>
      <c r="H40">
        <f>SUMPRODUCT((Recipes!$A$2:$A$480=$B40)*(Recipes!$I$2:$I$480="No price yet"))</f>
        <v>0</v>
      </c>
      <c r="I40" t="str">
        <f>IF($H40&gt;0,"No","Yes")</f>
        <v>Yes</v>
      </c>
    </row>
    <row r="41" spans="1:9" x14ac:dyDescent="0.25">
      <c r="A41" t="s">
        <v>86</v>
      </c>
      <c r="B41" t="s">
        <v>124</v>
      </c>
      <c r="C41" s="3">
        <v>200</v>
      </c>
      <c r="D41" s="3">
        <f>SUMPRODUCT((Recipes!$A$2:$A$480=$B41)*IF(ISNUMBER(Recipes!$H$2:$H$480),Recipes!$H$2:$H$480,0))</f>
        <v>97.41</v>
      </c>
      <c r="E41" s="3">
        <f>IF($D41="","",$C41-$D41)</f>
        <v>102.59</v>
      </c>
      <c r="F41" s="4">
        <f>IF(OR($I41&lt;&gt;"Yes",$C41&lt;=0),"",($C41-$D41)/$C41)</f>
        <v>0.51294</v>
      </c>
      <c r="G41">
        <f>SUMPRODUCT((Recipes!$A$2:$A$480=$B41)*1)</f>
        <v>5</v>
      </c>
      <c r="H41">
        <f>SUMPRODUCT((Recipes!$A$2:$A$480=$B41)*(Recipes!$I$2:$I$480="No price yet"))</f>
        <v>0</v>
      </c>
      <c r="I41" t="str">
        <f>IF($H41&gt;0,"No","Yes")</f>
        <v>Yes</v>
      </c>
    </row>
    <row r="42" spans="1:9" x14ac:dyDescent="0.25">
      <c r="A42" t="s">
        <v>89</v>
      </c>
      <c r="B42" t="s">
        <v>125</v>
      </c>
      <c r="C42" s="3">
        <v>230</v>
      </c>
      <c r="D42" s="3">
        <f>SUMPRODUCT((Recipes!$A$2:$A$480=$B42)*IF(ISNUMBER(Recipes!$H$2:$H$480),Recipes!$H$2:$H$480,0))</f>
        <v>89.15</v>
      </c>
      <c r="E42" s="3">
        <f>IF($D42="","",$C42-$D42)</f>
        <v>140.85</v>
      </c>
      <c r="F42" s="4">
        <f>IF(OR($I42&lt;&gt;"Yes",$C42&lt;=0),"",($C42-$D42)/$C42)</f>
        <v>0.61237</v>
      </c>
      <c r="G42">
        <f>SUMPRODUCT((Recipes!$A$2:$A$480=$B42)*1)</f>
        <v>6</v>
      </c>
      <c r="H42">
        <f>SUMPRODUCT((Recipes!$A$2:$A$480=$B42)*(Recipes!$I$2:$I$480="No price yet"))</f>
        <v>0</v>
      </c>
      <c r="I42" t="str">
        <f>IF($H42&gt;0,"No","Yes")</f>
        <v>Yes</v>
      </c>
    </row>
    <row r="43" spans="1:9" x14ac:dyDescent="0.25">
      <c r="A43" t="s">
        <v>89</v>
      </c>
      <c r="B43" t="s">
        <v>126</v>
      </c>
      <c r="C43" s="3">
        <v>250</v>
      </c>
      <c r="D43" s="3">
        <f>SUMPRODUCT((Recipes!$A$2:$A$480=$B43)*IF(ISNUMBER(Recipes!$H$2:$H$480),Recipes!$H$2:$H$480,0))</f>
        <v>98.84</v>
      </c>
      <c r="E43" s="3">
        <f>IF($D43="","",$C43-$D43)</f>
        <v>151.16</v>
      </c>
      <c r="F43" s="4">
        <f>IF(OR($I43&lt;&gt;"Yes",$C43&lt;=0),"",($C43-$D43)/$C43)</f>
        <v>0.60462</v>
      </c>
      <c r="G43">
        <f>SUMPRODUCT((Recipes!$A$2:$A$480=$B43)*1)</f>
        <v>8</v>
      </c>
      <c r="H43">
        <f>SUMPRODUCT((Recipes!$A$2:$A$480=$B43)*(Recipes!$I$2:$I$480="No price yet"))</f>
        <v>0</v>
      </c>
      <c r="I43" t="str">
        <f>IF($H43&gt;0,"No","Yes")</f>
        <v>Yes</v>
      </c>
    </row>
    <row r="44" spans="1:9" x14ac:dyDescent="0.25">
      <c r="A44" t="s">
        <v>70</v>
      </c>
      <c r="B44" t="s">
        <v>128</v>
      </c>
      <c r="C44" s="3">
        <v>119</v>
      </c>
      <c r="D44" s="3">
        <f>SUMPRODUCT((Recipes!$A$2:$A$480=$B44)*IF(ISNUMBER(Recipes!$H$2:$H$480),Recipes!$H$2:$H$480,0))</f>
        <v>34.96</v>
      </c>
      <c r="E44" s="3">
        <f>IF($D44="","",$C44-$D44)</f>
        <v>84.04</v>
      </c>
      <c r="F44" s="4">
        <f>IF(OR($I44&lt;&gt;"Yes",$C44&lt;=0),"",($C44-$D44)/$C44)</f>
        <v>0.706257</v>
      </c>
      <c r="G44">
        <f>SUMPRODUCT((Recipes!$A$2:$A$480=$B44)*1)</f>
        <v>8</v>
      </c>
      <c r="H44">
        <f>SUMPRODUCT((Recipes!$A$2:$A$480=$B44)*(Recipes!$I$2:$I$480="No price yet"))</f>
        <v>0</v>
      </c>
      <c r="I44" t="str">
        <f>IF($H44&gt;0,"No","Yes")</f>
        <v>Yes</v>
      </c>
    </row>
    <row r="45" spans="1:9" x14ac:dyDescent="0.25">
      <c r="A45" t="s">
        <v>36</v>
      </c>
      <c r="B45" t="s">
        <v>130</v>
      </c>
      <c r="C45" s="3">
        <v>179</v>
      </c>
      <c r="D45" s="3">
        <f>SUMPRODUCT((Recipes!$A$2:$A$480=$B45)*IF(ISNUMBER(Recipes!$H$2:$H$480),Recipes!$H$2:$H$480,0))</f>
        <v>61.76</v>
      </c>
      <c r="E45" s="3">
        <f>IF($D45="","",$C45-$D45)</f>
        <v>117.24</v>
      </c>
      <c r="F45" s="4">
        <f>IF(OR($I45&lt;&gt;"Yes",$C45&lt;=0),"",($C45-$D45)/$C45)</f>
        <v>0.654978</v>
      </c>
      <c r="G45">
        <f>SUMPRODUCT((Recipes!$A$2:$A$480=$B45)*1)</f>
        <v>7</v>
      </c>
      <c r="H45">
        <f>SUMPRODUCT((Recipes!$A$2:$A$480=$B45)*(Recipes!$I$2:$I$480="No price yet"))</f>
        <v>0</v>
      </c>
      <c r="I45" t="str">
        <f>IF($H45&gt;0,"No","Yes")</f>
        <v>Yes</v>
      </c>
    </row>
    <row r="46" spans="1:9" x14ac:dyDescent="0.25">
      <c r="A46" t="s">
        <v>26</v>
      </c>
      <c r="B46" t="s">
        <v>132</v>
      </c>
      <c r="C46" s="3">
        <v>159</v>
      </c>
      <c r="D46" s="3">
        <f>SUMPRODUCT((Recipes!$A$2:$A$480=$B46)*IF(ISNUMBER(Recipes!$H$2:$H$480),Recipes!$H$2:$H$480,0))</f>
        <v>58.33</v>
      </c>
      <c r="E46" s="3">
        <f>IF($D46="","",$C46-$D46)</f>
        <v>100.67</v>
      </c>
      <c r="F46" s="4">
        <f>IF(OR($I46&lt;&gt;"Yes",$C46&lt;=0),"",($C46-$D46)/$C46)</f>
        <v>0.633155</v>
      </c>
      <c r="G46">
        <f>SUMPRODUCT((Recipes!$A$2:$A$480=$B46)*1)</f>
        <v>8</v>
      </c>
      <c r="H46">
        <f>SUMPRODUCT((Recipes!$A$2:$A$480=$B46)*(Recipes!$I$2:$I$480="No price yet"))</f>
        <v>0</v>
      </c>
      <c r="I46" t="str">
        <f>IF($H46&gt;0,"No","Yes")</f>
        <v>Yes</v>
      </c>
    </row>
    <row r="47" spans="1:9" x14ac:dyDescent="0.25">
      <c r="A47" t="s">
        <v>45</v>
      </c>
      <c r="B47" t="s">
        <v>133</v>
      </c>
      <c r="C47" s="3">
        <v>75</v>
      </c>
      <c r="D47" s="3">
        <f>SUMPRODUCT((Recipes!$A$2:$A$480=$B47)*IF(ISNUMBER(Recipes!$H$2:$H$480),Recipes!$H$2:$H$480,0))</f>
        <v>45.17</v>
      </c>
      <c r="E47" s="3">
        <f>IF($D47="","",$C47-$D47)</f>
        <v>29.83</v>
      </c>
      <c r="F47" s="4">
        <f>IF(OR($I47&lt;&gt;"Yes",$C47&lt;=0),"",($C47-$D47)/$C47)</f>
        <v>0.397701</v>
      </c>
      <c r="G47">
        <f>SUMPRODUCT((Recipes!$A$2:$A$480=$B47)*1)</f>
        <v>8</v>
      </c>
      <c r="H47">
        <f>SUMPRODUCT((Recipes!$A$2:$A$480=$B47)*(Recipes!$I$2:$I$480="No price yet"))</f>
        <v>0</v>
      </c>
      <c r="I47" t="str">
        <f>IF($H47&gt;0,"No","Yes")</f>
        <v>Yes</v>
      </c>
    </row>
    <row r="48" spans="1:9" x14ac:dyDescent="0.25">
      <c r="A48" t="s">
        <v>26</v>
      </c>
      <c r="B48" t="s">
        <v>135</v>
      </c>
      <c r="C48" s="3">
        <v>159</v>
      </c>
      <c r="D48" s="3">
        <f>SUMPRODUCT((Recipes!$A$2:$A$480=$B48)*IF(ISNUMBER(Recipes!$H$2:$H$480),Recipes!$H$2:$H$480,0))</f>
        <v>51.21</v>
      </c>
      <c r="E48" s="3">
        <f>IF($D48="","",$C48-$D48)</f>
        <v>107.79</v>
      </c>
      <c r="F48" s="4">
        <f>IF(OR($I48&lt;&gt;"Yes",$C48&lt;=0),"",($C48-$D48)/$C48)</f>
        <v>0.67795</v>
      </c>
      <c r="G48">
        <f>SUMPRODUCT((Recipes!$A$2:$A$480=$B48)*1)</f>
        <v>8</v>
      </c>
      <c r="H48">
        <f>SUMPRODUCT((Recipes!$A$2:$A$480=$B48)*(Recipes!$I$2:$I$480="No price yet"))</f>
        <v>0</v>
      </c>
      <c r="I48" t="str">
        <f>IF($H48&gt;0,"No","Yes")</f>
        <v>Yes</v>
      </c>
    </row>
    <row r="49" spans="1:9" x14ac:dyDescent="0.25">
      <c r="A49" t="s">
        <v>36</v>
      </c>
      <c r="B49" t="s">
        <v>137</v>
      </c>
      <c r="C49" s="3">
        <v>179</v>
      </c>
      <c r="D49" s="3">
        <f>SUMPRODUCT((Recipes!$A$2:$A$480=$B49)*IF(ISNUMBER(Recipes!$H$2:$H$480),Recipes!$H$2:$H$480,0))</f>
        <v>76.99</v>
      </c>
      <c r="E49" s="3">
        <f>IF($D49="","",$C49-$D49)</f>
        <v>102.01</v>
      </c>
      <c r="F49" s="4">
        <f>IF(OR($I49&lt;&gt;"Yes",$C49&lt;=0),"",($C49-$D49)/$C49)</f>
        <v>0.569866</v>
      </c>
      <c r="G49">
        <f>SUMPRODUCT((Recipes!$A$2:$A$480=$B49)*1)</f>
        <v>8</v>
      </c>
      <c r="H49">
        <f>SUMPRODUCT((Recipes!$A$2:$A$480=$B49)*(Recipes!$I$2:$I$480="No price yet"))</f>
        <v>0</v>
      </c>
      <c r="I49" t="str">
        <f>IF($H49&gt;0,"No","Yes")</f>
        <v>Yes</v>
      </c>
    </row>
    <row r="50" spans="1:9" x14ac:dyDescent="0.25">
      <c r="A50" t="s">
        <v>45</v>
      </c>
      <c r="B50" t="s">
        <v>138</v>
      </c>
      <c r="C50" s="3">
        <v>70</v>
      </c>
      <c r="D50" s="3">
        <f>SUMPRODUCT((Recipes!$A$2:$A$480=$B50)*IF(ISNUMBER(Recipes!$H$2:$H$480),Recipes!$H$2:$H$480,0))</f>
        <v>26.96</v>
      </c>
      <c r="E50" s="3">
        <f>IF($D50="","",$C50-$D50)</f>
        <v>43.04</v>
      </c>
      <c r="F50" s="4">
        <f>IF(OR($I50&lt;&gt;"Yes",$C50&lt;=0),"",($C50-$D50)/$C50)</f>
        <v>0.614823</v>
      </c>
      <c r="G50">
        <f>SUMPRODUCT((Recipes!$A$2:$A$480=$B50)*1)</f>
        <v>7</v>
      </c>
      <c r="H50">
        <f>SUMPRODUCT((Recipes!$A$2:$A$480=$B50)*(Recipes!$I$2:$I$480="No price yet"))</f>
        <v>0</v>
      </c>
      <c r="I50" t="str">
        <f>IF($H50&gt;0,"No","Yes")</f>
        <v>Yes</v>
      </c>
    </row>
    <row r="51" spans="1:9" x14ac:dyDescent="0.25">
      <c r="A51" t="s">
        <v>26</v>
      </c>
      <c r="B51" t="s">
        <v>140</v>
      </c>
      <c r="C51" s="3">
        <v>139</v>
      </c>
      <c r="D51" s="3">
        <f>SUMPRODUCT((Recipes!$A$2:$A$480=$B51)*IF(ISNUMBER(Recipes!$H$2:$H$480),Recipes!$H$2:$H$480,0))</f>
        <v>37.31</v>
      </c>
      <c r="E51" s="3">
        <f>IF($D51="","",$C51-$D51)</f>
        <v>101.69</v>
      </c>
      <c r="F51" s="4">
        <f>IF(OR($I51&lt;&gt;"Yes",$C51&lt;=0),"",($C51-$D51)/$C51)</f>
        <v>0.731576</v>
      </c>
      <c r="G51">
        <f>SUMPRODUCT((Recipes!$A$2:$A$480=$B51)*1)</f>
        <v>7</v>
      </c>
      <c r="H51">
        <f>SUMPRODUCT((Recipes!$A$2:$A$480=$B51)*(Recipes!$I$2:$I$480="No price yet"))</f>
        <v>0</v>
      </c>
      <c r="I51" t="str">
        <f>IF($H51&gt;0,"No","Yes")</f>
        <v>Yes</v>
      </c>
    </row>
    <row r="52" spans="1:9" x14ac:dyDescent="0.25">
      <c r="A52" t="s">
        <v>67</v>
      </c>
      <c r="B52" t="s">
        <v>141</v>
      </c>
      <c r="C52" s="3">
        <v>130</v>
      </c>
      <c r="D52" s="3">
        <f>SUMPRODUCT((Recipes!$A$2:$A$480=$B52)*IF(ISNUMBER(Recipes!$H$2:$H$480),Recipes!$H$2:$H$480,0))</f>
        <v>83.76</v>
      </c>
      <c r="E52" s="3">
        <f>IF($D52="","",$C52-$D52)</f>
        <v>46.24</v>
      </c>
      <c r="F52" s="4">
        <f>IF(OR($I52&lt;&gt;"Yes",$C52&lt;=0),"",($C52-$D52)/$C52)</f>
        <v>0.355708</v>
      </c>
      <c r="G52">
        <f>SUMPRODUCT((Recipes!$A$2:$A$480=$B52)*1)</f>
        <v>6</v>
      </c>
      <c r="H52">
        <f>SUMPRODUCT((Recipes!$A$2:$A$480=$B52)*(Recipes!$I$2:$I$480="No price yet"))</f>
        <v>0</v>
      </c>
      <c r="I52" t="str">
        <f>IF($H52&gt;0,"No","Yes")</f>
        <v>Yes</v>
      </c>
    </row>
    <row r="53" spans="1:9" x14ac:dyDescent="0.25">
      <c r="A53" t="s">
        <v>70</v>
      </c>
      <c r="B53" t="s">
        <v>143</v>
      </c>
      <c r="C53" s="3">
        <v>150</v>
      </c>
      <c r="D53" s="3">
        <f>SUMPRODUCT((Recipes!$A$2:$A$480=$B53)*IF(ISNUMBER(Recipes!$H$2:$H$480),Recipes!$H$2:$H$480,0))</f>
        <v>78.39</v>
      </c>
      <c r="E53" s="3">
        <f>IF($D53="","",$C53-$D53)</f>
        <v>71.61</v>
      </c>
      <c r="F53" s="4">
        <f>IF(OR($I53&lt;&gt;"Yes",$C53&lt;=0),"",($C53-$D53)/$C53)</f>
        <v>0.477394</v>
      </c>
      <c r="G53">
        <f>SUMPRODUCT((Recipes!$A$2:$A$480=$B53)*1)</f>
        <v>7</v>
      </c>
      <c r="H53">
        <f>SUMPRODUCT((Recipes!$A$2:$A$480=$B53)*(Recipes!$I$2:$I$480="No price yet"))</f>
        <v>0</v>
      </c>
      <c r="I53" t="str">
        <f>IF($H53&gt;0,"No","Yes")</f>
        <v>Yes</v>
      </c>
    </row>
    <row r="54" spans="1:9" x14ac:dyDescent="0.25">
      <c r="A54" t="s">
        <v>77</v>
      </c>
      <c r="B54" t="s">
        <v>144</v>
      </c>
      <c r="C54" s="3">
        <v>139</v>
      </c>
      <c r="D54" s="3">
        <f>SUMPRODUCT((Recipes!$A$2:$A$480=$B54)*IF(ISNUMBER(Recipes!$H$2:$H$480),Recipes!$H$2:$H$480,0))</f>
        <v>43.3</v>
      </c>
      <c r="E54" s="3">
        <f>IF($D54="","",$C54-$D54)</f>
        <v>95.7</v>
      </c>
      <c r="F54" s="4">
        <f>IF(OR($I54&lt;&gt;"Yes",$C54&lt;=0),"",($C54-$D54)/$C54)</f>
        <v>0.688489</v>
      </c>
      <c r="G54">
        <f>SUMPRODUCT((Recipes!$A$2:$A$480=$B54)*1)</f>
        <v>4</v>
      </c>
      <c r="H54">
        <f>SUMPRODUCT((Recipes!$A$2:$A$480=$B54)*(Recipes!$I$2:$I$480="No price yet"))</f>
        <v>0</v>
      </c>
      <c r="I54" t="str">
        <f>IF($H54&gt;0,"No","Yes")</f>
        <v>Yes</v>
      </c>
    </row>
    <row r="55" spans="1:9" x14ac:dyDescent="0.25">
      <c r="A55" t="s">
        <v>79</v>
      </c>
      <c r="B55" t="s">
        <v>145</v>
      </c>
      <c r="C55" s="3">
        <v>159</v>
      </c>
      <c r="D55" s="3">
        <f>SUMPRODUCT((Recipes!$A$2:$A$480=$B55)*IF(ISNUMBER(Recipes!$H$2:$H$480),Recipes!$H$2:$H$480,0))</f>
        <v>37.93</v>
      </c>
      <c r="E55" s="3">
        <f>IF($D55="","",$C55-$D55)</f>
        <v>121.07</v>
      </c>
      <c r="F55" s="4">
        <f>IF(OR($I55&lt;&gt;"Yes",$C55&lt;=0),"",($C55-$D55)/$C55)</f>
        <v>0.761428</v>
      </c>
      <c r="G55">
        <f>SUMPRODUCT((Recipes!$A$2:$A$480=$B55)*1)</f>
        <v>5</v>
      </c>
      <c r="H55">
        <f>SUMPRODUCT((Recipes!$A$2:$A$480=$B55)*(Recipes!$I$2:$I$480="No price yet"))</f>
        <v>0</v>
      </c>
      <c r="I55" t="str">
        <f>IF($H55&gt;0,"No","Yes")</f>
        <v>Yes</v>
      </c>
    </row>
    <row r="56" spans="1:9" x14ac:dyDescent="0.25">
      <c r="A56" t="s">
        <v>77</v>
      </c>
      <c r="B56" t="s">
        <v>146</v>
      </c>
      <c r="C56" s="3">
        <v>139</v>
      </c>
      <c r="D56" s="3">
        <f>SUMPRODUCT((Recipes!$A$2:$A$480=$B56)*IF(ISNUMBER(Recipes!$H$2:$H$480),Recipes!$H$2:$H$480,0))</f>
        <v>43.3</v>
      </c>
      <c r="E56" s="3">
        <f>IF($D56="","",$C56-$D56)</f>
        <v>95.7</v>
      </c>
      <c r="F56" s="4">
        <f>IF(OR($I56&lt;&gt;"Yes",$C56&lt;=0),"",($C56-$D56)/$C56)</f>
        <v>0.688489</v>
      </c>
      <c r="G56">
        <f>SUMPRODUCT((Recipes!$A$2:$A$480=$B56)*1)</f>
        <v>4</v>
      </c>
      <c r="H56">
        <f>SUMPRODUCT((Recipes!$A$2:$A$480=$B56)*(Recipes!$I$2:$I$480="No price yet"))</f>
        <v>0</v>
      </c>
      <c r="I56" t="str">
        <f>IF($H56&gt;0,"No","Yes")</f>
        <v>Yes</v>
      </c>
    </row>
    <row r="57" spans="1:9" x14ac:dyDescent="0.25">
      <c r="A57" t="s">
        <v>79</v>
      </c>
      <c r="B57" t="s">
        <v>147</v>
      </c>
      <c r="C57" s="3">
        <v>149</v>
      </c>
      <c r="D57" s="3">
        <f>SUMPRODUCT((Recipes!$A$2:$A$480=$B57)*IF(ISNUMBER(Recipes!$H$2:$H$480),Recipes!$H$2:$H$480,0))</f>
        <v>37.93</v>
      </c>
      <c r="E57" s="3">
        <f>IF($D57="","",$C57-$D57)</f>
        <v>111.07</v>
      </c>
      <c r="F57" s="4">
        <f>IF(OR($I57&lt;&gt;"Yes",$C57&lt;=0),"",($C57-$D57)/$C57)</f>
        <v>0.745417</v>
      </c>
      <c r="G57">
        <f>SUMPRODUCT((Recipes!$A$2:$A$480=$B57)*1)</f>
        <v>5</v>
      </c>
      <c r="H57">
        <f>SUMPRODUCT((Recipes!$A$2:$A$480=$B57)*(Recipes!$I$2:$I$480="No price yet"))</f>
        <v>0</v>
      </c>
      <c r="I57" t="str">
        <f>IF($H57&gt;0,"No","Yes")</f>
        <v>Yes</v>
      </c>
    </row>
    <row r="58" spans="1:9" x14ac:dyDescent="0.25">
      <c r="A58" t="s">
        <v>70</v>
      </c>
      <c r="B58" t="s">
        <v>148</v>
      </c>
      <c r="C58" s="3">
        <v>150</v>
      </c>
      <c r="D58" s="3">
        <f>SUMPRODUCT((Recipes!$A$2:$A$480=$B58)*IF(ISNUMBER(Recipes!$H$2:$H$480),Recipes!$H$2:$H$480,0))</f>
        <v>46.18</v>
      </c>
      <c r="E58" s="3">
        <f>IF($D58="","",$C58-$D58)</f>
        <v>103.82</v>
      </c>
      <c r="F58" s="4">
        <f>IF(OR($I58&lt;&gt;"Yes",$C58&lt;=0),"",($C58-$D58)/$C58)</f>
        <v>0.692114</v>
      </c>
      <c r="G58">
        <f>SUMPRODUCT((Recipes!$A$2:$A$480=$B58)*1)</f>
        <v>5</v>
      </c>
      <c r="H58">
        <f>SUMPRODUCT((Recipes!$A$2:$A$480=$B58)*(Recipes!$I$2:$I$480="No price yet"))</f>
        <v>0</v>
      </c>
      <c r="I58" t="str">
        <f>IF($H58&gt;0,"No","Yes")</f>
        <v>Yes</v>
      </c>
    </row>
    <row r="59" spans="1:9" x14ac:dyDescent="0.25">
      <c r="A59" t="s">
        <v>36</v>
      </c>
      <c r="B59" t="s">
        <v>149</v>
      </c>
      <c r="C59" s="3">
        <v>149</v>
      </c>
      <c r="D59" s="3">
        <f>SUMPRODUCT((Recipes!$A$2:$A$480=$B59)*IF(ISNUMBER(Recipes!$H$2:$H$480),Recipes!$H$2:$H$480,0))</f>
        <v>48.49</v>
      </c>
      <c r="E59" s="3">
        <f>IF($D59="","",$C59-$D59)</f>
        <v>100.51</v>
      </c>
      <c r="F59" s="4">
        <f>IF(OR($I59&lt;&gt;"Yes",$C59&lt;=0),"",($C59-$D59)/$C59)</f>
        <v>0.674581</v>
      </c>
      <c r="G59">
        <f>SUMPRODUCT((Recipes!$A$2:$A$480=$B59)*1)</f>
        <v>8</v>
      </c>
      <c r="H59">
        <f>SUMPRODUCT((Recipes!$A$2:$A$480=$B59)*(Recipes!$I$2:$I$480="No price yet"))</f>
        <v>0</v>
      </c>
      <c r="I59" t="str">
        <f>IF($H59&gt;0,"No","Yes")</f>
        <v>Yes</v>
      </c>
    </row>
    <row r="60" spans="1:9" x14ac:dyDescent="0.25">
      <c r="A60" t="s">
        <v>89</v>
      </c>
      <c r="B60" t="s">
        <v>152</v>
      </c>
      <c r="C60" s="3">
        <v>250</v>
      </c>
      <c r="D60" s="3">
        <f>SUMPRODUCT((Recipes!$A$2:$A$480=$B60)*IF(ISNUMBER(Recipes!$H$2:$H$480),Recipes!$H$2:$H$480,0))</f>
        <v>98.25</v>
      </c>
      <c r="E60" s="3">
        <f>IF($D60="","",$C60-$D60)</f>
        <v>151.75</v>
      </c>
      <c r="F60" s="4">
        <f>IF(OR($I60&lt;&gt;"Yes",$C60&lt;=0),"",($C60-$D60)/$C60)</f>
        <v>0.607004</v>
      </c>
      <c r="G60">
        <f>SUMPRODUCT((Recipes!$A$2:$A$480=$B60)*1)</f>
        <v>10</v>
      </c>
      <c r="H60">
        <f>SUMPRODUCT((Recipes!$A$2:$A$480=$B60)*(Recipes!$I$2:$I$480="No price yet"))</f>
        <v>0</v>
      </c>
      <c r="I60" t="str">
        <f>IF($H60&gt;0,"No","Yes")</f>
        <v>Yes</v>
      </c>
    </row>
    <row r="61" spans="1:9" x14ac:dyDescent="0.25">
      <c r="A61" t="s">
        <v>45</v>
      </c>
      <c r="B61" t="s">
        <v>153</v>
      </c>
      <c r="C61" s="3">
        <v>70</v>
      </c>
      <c r="D61" s="3">
        <f>SUMPRODUCT((Recipes!$A$2:$A$480=$B61)*IF(ISNUMBER(Recipes!$H$2:$H$480),Recipes!$H$2:$H$480,0))</f>
        <v>26.76</v>
      </c>
      <c r="E61" s="3">
        <f>IF($D61="","",$C61-$D61)</f>
        <v>43.24</v>
      </c>
      <c r="F61" s="4">
        <f>IF(OR($I61&lt;&gt;"Yes",$C61&lt;=0),"",($C61-$D61)/$C61)</f>
        <v>0.617644</v>
      </c>
      <c r="G61">
        <f>SUMPRODUCT((Recipes!$A$2:$A$480=$B61)*1)</f>
        <v>8</v>
      </c>
      <c r="H61">
        <f>SUMPRODUCT((Recipes!$A$2:$A$480=$B61)*(Recipes!$I$2:$I$480="No price yet"))</f>
        <v>0</v>
      </c>
      <c r="I61" t="str">
        <f>IF($H61&gt;0,"No","Yes")</f>
        <v>Yes</v>
      </c>
    </row>
    <row r="62" spans="1:9" x14ac:dyDescent="0.25">
      <c r="A62" t="s">
        <v>26</v>
      </c>
      <c r="B62" t="s">
        <v>154</v>
      </c>
      <c r="C62" s="3">
        <v>139</v>
      </c>
      <c r="D62" s="3">
        <f>SUMPRODUCT((Recipes!$A$2:$A$480=$B62)*IF(ISNUMBER(Recipes!$H$2:$H$480),Recipes!$H$2:$H$480,0))</f>
        <v>36.98</v>
      </c>
      <c r="E62" s="3">
        <f>IF($D62="","",$C62-$D62)</f>
        <v>102.02</v>
      </c>
      <c r="F62" s="4">
        <f>IF(OR($I62&lt;&gt;"Yes",$C62&lt;=0),"",($C62-$D62)/$C62)</f>
        <v>0.733965</v>
      </c>
      <c r="G62">
        <f>SUMPRODUCT((Recipes!$A$2:$A$480=$B62)*1)</f>
        <v>7</v>
      </c>
      <c r="H62">
        <f>SUMPRODUCT((Recipes!$A$2:$A$480=$B62)*(Recipes!$I$2:$I$480="No price yet"))</f>
        <v>0</v>
      </c>
      <c r="I62" t="str">
        <f>IF($H62&gt;0,"No","Yes")</f>
        <v>Yes</v>
      </c>
    </row>
    <row r="63" spans="1:9" x14ac:dyDescent="0.25">
      <c r="A63" t="s">
        <v>52</v>
      </c>
      <c r="B63" t="s">
        <v>155</v>
      </c>
      <c r="C63" s="3">
        <v>150</v>
      </c>
      <c r="D63" s="3">
        <f>SUMPRODUCT((Recipes!$A$2:$A$480=$B63)*IF(ISNUMBER(Recipes!$H$2:$H$480),Recipes!$H$2:$H$480,0))</f>
        <v>1.46</v>
      </c>
      <c r="E63" s="3">
        <f>IF($D63="","",$C63-$D63)</f>
        <v>148.54</v>
      </c>
      <c r="F63" s="4" t="str">
        <f>IF(OR($I63&lt;&gt;"Yes",$C63&lt;=0),"",($C63-$D63)/$C63)</f>
        <v/>
      </c>
      <c r="G63">
        <f>SUMPRODUCT((Recipes!$A$2:$A$480=$B63)*1)</f>
        <v>7</v>
      </c>
      <c r="H63">
        <f>SUMPRODUCT((Recipes!$A$2:$A$480=$B63)*(Recipes!$I$2:$I$480="No price yet"))</f>
        <v>4</v>
      </c>
      <c r="I63" t="str">
        <f>IF($H63&gt;0,"No","Yes")</f>
        <v>No</v>
      </c>
    </row>
    <row r="64" spans="1:9" x14ac:dyDescent="0.25">
      <c r="A64" t="s">
        <v>52</v>
      </c>
      <c r="B64" t="s">
        <v>162</v>
      </c>
      <c r="C64" s="3">
        <v>150</v>
      </c>
      <c r="D64" s="3">
        <f>SUMPRODUCT((Recipes!$A$2:$A$480=$B64)*IF(ISNUMBER(Recipes!$H$2:$H$480),Recipes!$H$2:$H$480,0))</f>
        <v>7.5</v>
      </c>
      <c r="E64" s="3">
        <f>IF($D64="","",$C64-$D64)</f>
        <v>142.5</v>
      </c>
      <c r="F64" s="4" t="str">
        <f>IF(OR($I64&lt;&gt;"Yes",$C64&lt;=0),"",($C64-$D64)/$C64)</f>
        <v/>
      </c>
      <c r="G64">
        <f>SUMPRODUCT((Recipes!$A$2:$A$480=$B64)*1)</f>
        <v>9</v>
      </c>
      <c r="H64">
        <f>SUMPRODUCT((Recipes!$A$2:$A$480=$B64)*(Recipes!$I$2:$I$480="No price yet"))</f>
        <v>4</v>
      </c>
      <c r="I64" t="str">
        <f>IF($H64&gt;0,"No","Yes")</f>
        <v>No</v>
      </c>
    </row>
    <row r="65" spans="1:9" x14ac:dyDescent="0.25">
      <c r="A65" t="s">
        <v>36</v>
      </c>
      <c r="B65" t="s">
        <v>166</v>
      </c>
      <c r="C65" s="3">
        <v>189</v>
      </c>
      <c r="D65" s="3">
        <f>SUMPRODUCT((Recipes!$A$2:$A$480=$B65)*IF(ISNUMBER(Recipes!$H$2:$H$480),Recipes!$H$2:$H$480,0))</f>
        <v>74.23</v>
      </c>
      <c r="E65" s="3">
        <f>IF($D65="","",$C65-$D65)</f>
        <v>114.77</v>
      </c>
      <c r="F65" s="4">
        <f>IF(OR($I65&lt;&gt;"Yes",$C65&lt;=0),"",($C65-$D65)/$C65)</f>
        <v>0.607267</v>
      </c>
      <c r="G65">
        <f>SUMPRODUCT((Recipes!$A$2:$A$480=$B65)*1)</f>
        <v>7</v>
      </c>
      <c r="H65">
        <f>SUMPRODUCT((Recipes!$A$2:$A$480=$B65)*(Recipes!$I$2:$I$480="No price yet"))</f>
        <v>0</v>
      </c>
      <c r="I65" t="str">
        <f>IF($H65&gt;0,"No","Yes")</f>
        <v>Yes</v>
      </c>
    </row>
    <row r="66" spans="1:9" x14ac:dyDescent="0.25">
      <c r="A66" t="s">
        <v>36</v>
      </c>
      <c r="B66" t="s">
        <v>167</v>
      </c>
      <c r="C66" s="3">
        <v>199</v>
      </c>
      <c r="D66" s="3">
        <f>SUMPRODUCT((Recipes!$A$2:$A$480=$B66)*IF(ISNUMBER(Recipes!$H$2:$H$480),Recipes!$H$2:$H$480,0))</f>
        <v>72.81</v>
      </c>
      <c r="E66" s="3">
        <f>IF($D66="","",$C66-$D66)</f>
        <v>126.19</v>
      </c>
      <c r="F66" s="4">
        <f>IF(OR($I66&lt;&gt;"Yes",$C66&lt;=0),"",($C66-$D66)/$C66)</f>
        <v>0.634126</v>
      </c>
      <c r="G66">
        <f>SUMPRODUCT((Recipes!$A$2:$A$480=$B66)*1)</f>
        <v>7</v>
      </c>
      <c r="H66">
        <f>SUMPRODUCT((Recipes!$A$2:$A$480=$B66)*(Recipes!$I$2:$I$480="No price yet"))</f>
        <v>0</v>
      </c>
      <c r="I66" t="str">
        <f>IF($H66&gt;0,"No","Yes")</f>
        <v>Yes</v>
      </c>
    </row>
    <row r="67" spans="1:9" x14ac:dyDescent="0.25">
      <c r="A67" t="s">
        <v>67</v>
      </c>
      <c r="B67" t="s">
        <v>169</v>
      </c>
      <c r="C67" s="3">
        <v>169</v>
      </c>
      <c r="D67" s="3">
        <f>SUMPRODUCT((Recipes!$A$2:$A$480=$B67)*IF(ISNUMBER(Recipes!$H$2:$H$480),Recipes!$H$2:$H$480,0))</f>
        <v>88.42</v>
      </c>
      <c r="E67" s="3">
        <f>IF($D67="","",$C67-$D67)</f>
        <v>80.58</v>
      </c>
      <c r="F67" s="4">
        <f>IF(OR($I67&lt;&gt;"Yes",$C67&lt;=0),"",($C67-$D67)/$C67)</f>
        <v>0.476775</v>
      </c>
      <c r="G67">
        <f>SUMPRODUCT((Recipes!$A$2:$A$480=$B67)*1)</f>
        <v>6</v>
      </c>
      <c r="H67">
        <f>SUMPRODUCT((Recipes!$A$2:$A$480=$B67)*(Recipes!$I$2:$I$480="No price yet"))</f>
        <v>0</v>
      </c>
      <c r="I67" t="str">
        <f>IF($H67&gt;0,"No","Yes")</f>
        <v>Yes</v>
      </c>
    </row>
    <row r="68" spans="1:9" x14ac:dyDescent="0.25">
      <c r="A68" t="s">
        <v>70</v>
      </c>
      <c r="B68" t="s">
        <v>171</v>
      </c>
      <c r="C68" s="3">
        <v>169</v>
      </c>
      <c r="D68" s="3">
        <f>SUMPRODUCT((Recipes!$A$2:$A$480=$B68)*IF(ISNUMBER(Recipes!$H$2:$H$480),Recipes!$H$2:$H$480,0))</f>
        <v>87.56</v>
      </c>
      <c r="E68" s="3">
        <f>IF($D68="","",$C68-$D68)</f>
        <v>81.44</v>
      </c>
      <c r="F68" s="4">
        <f>IF(OR($I68&lt;&gt;"Yes",$C68&lt;=0),"",($C68-$D68)/$C68)</f>
        <v>0.481906</v>
      </c>
      <c r="G68">
        <f>SUMPRODUCT((Recipes!$A$2:$A$480=$B68)*1)</f>
        <v>7</v>
      </c>
      <c r="H68">
        <f>SUMPRODUCT((Recipes!$A$2:$A$480=$B68)*(Recipes!$I$2:$I$480="No price yet"))</f>
        <v>0</v>
      </c>
      <c r="I68" t="str">
        <f>IF($H68&gt;0,"No","Yes")</f>
        <v>Yes</v>
      </c>
    </row>
    <row r="69" spans="1:9" x14ac:dyDescent="0.25">
      <c r="A69" t="s">
        <v>70</v>
      </c>
      <c r="B69" t="s">
        <v>172</v>
      </c>
      <c r="C69" s="3">
        <v>179</v>
      </c>
      <c r="D69" s="3">
        <f>SUMPRODUCT((Recipes!$A$2:$A$480=$B69)*IF(ISNUMBER(Recipes!$H$2:$H$480),Recipes!$H$2:$H$480,0))</f>
        <v>44.32</v>
      </c>
      <c r="E69" s="3">
        <f>IF($D69="","",$C69-$D69)</f>
        <v>134.68</v>
      </c>
      <c r="F69" s="4">
        <f>IF(OR($I69&lt;&gt;"Yes",$C69&lt;=0),"",($C69-$D69)/$C69)</f>
        <v>0.7524</v>
      </c>
      <c r="G69">
        <f>SUMPRODUCT((Recipes!$A$2:$A$480=$B69)*1)</f>
        <v>7</v>
      </c>
      <c r="H69">
        <f>SUMPRODUCT((Recipes!$A$2:$A$480=$B69)*(Recipes!$I$2:$I$480="No price yet"))</f>
        <v>0</v>
      </c>
      <c r="I69" t="str">
        <f>IF($H69&gt;0,"No","Yes")</f>
        <v>Yes</v>
      </c>
    </row>
    <row r="70" spans="1:9" x14ac:dyDescent="0.25">
      <c r="A70" t="s">
        <v>77</v>
      </c>
      <c r="B70" t="s">
        <v>174</v>
      </c>
      <c r="C70" s="3">
        <v>139</v>
      </c>
      <c r="D70" s="3">
        <f>SUMPRODUCT((Recipes!$A$2:$A$480=$B70)*IF(ISNUMBER(Recipes!$H$2:$H$480),Recipes!$H$2:$H$480,0))</f>
        <v>67.32</v>
      </c>
      <c r="E70" s="3">
        <f>IF($D70="","",$C70-$D70)</f>
        <v>71.68</v>
      </c>
      <c r="F70" s="4">
        <f>IF(OR($I70&lt;&gt;"Yes",$C70&lt;=0),"",($C70-$D70)/$C70)</f>
        <v>0.515698</v>
      </c>
      <c r="G70">
        <f>SUMPRODUCT((Recipes!$A$2:$A$480=$B70)*1)</f>
        <v>6</v>
      </c>
      <c r="H70">
        <f>SUMPRODUCT((Recipes!$A$2:$A$480=$B70)*(Recipes!$I$2:$I$480="No price yet"))</f>
        <v>0</v>
      </c>
      <c r="I70" t="str">
        <f>IF($H70&gt;0,"No","Yes")</f>
        <v>Yes</v>
      </c>
    </row>
    <row r="71" spans="1:9" x14ac:dyDescent="0.25">
      <c r="A71" t="s">
        <v>79</v>
      </c>
      <c r="B71" t="s">
        <v>175</v>
      </c>
      <c r="C71" s="3">
        <v>149</v>
      </c>
      <c r="D71" s="3">
        <f>SUMPRODUCT((Recipes!$A$2:$A$480=$B71)*IF(ISNUMBER(Recipes!$H$2:$H$480),Recipes!$H$2:$H$480,0))</f>
        <v>61.95</v>
      </c>
      <c r="E71" s="3">
        <f>IF($D71="","",$C71-$D71)</f>
        <v>87.05</v>
      </c>
      <c r="F71" s="4">
        <f>IF(OR($I71&lt;&gt;"Yes",$C71&lt;=0),"",($C71-$D71)/$C71)</f>
        <v>0.584222</v>
      </c>
      <c r="G71">
        <f>SUMPRODUCT((Recipes!$A$2:$A$480=$B71)*1)</f>
        <v>7</v>
      </c>
      <c r="H71">
        <f>SUMPRODUCT((Recipes!$A$2:$A$480=$B71)*(Recipes!$I$2:$I$480="No price yet"))</f>
        <v>0</v>
      </c>
      <c r="I71" t="str">
        <f>IF($H71&gt;0,"No","Yes")</f>
        <v>Yes</v>
      </c>
    </row>
    <row r="72" spans="1:9" x14ac:dyDescent="0.25">
      <c r="A72" t="s">
        <v>79</v>
      </c>
      <c r="B72" t="s">
        <v>176</v>
      </c>
      <c r="C72" s="3">
        <v>149</v>
      </c>
      <c r="D72" s="3">
        <f>SUMPRODUCT((Recipes!$A$2:$A$480=$B72)*IF(ISNUMBER(Recipes!$H$2:$H$480),Recipes!$H$2:$H$480,0))</f>
        <v>24.43</v>
      </c>
      <c r="E72" s="3">
        <f>IF($D72="","",$C72-$D72)</f>
        <v>124.57</v>
      </c>
      <c r="F72" s="4">
        <f>IF(OR($I72&lt;&gt;"Yes",$C72&lt;=0),"",($C72-$D72)/$C72)</f>
        <v>0.836041</v>
      </c>
      <c r="G72">
        <f>SUMPRODUCT((Recipes!$A$2:$A$480=$B72)*1)</f>
        <v>4</v>
      </c>
      <c r="H72">
        <f>SUMPRODUCT((Recipes!$A$2:$A$480=$B72)*(Recipes!$I$2:$I$480="No price yet"))</f>
        <v>0</v>
      </c>
      <c r="I72" t="str">
        <f>IF($H72&gt;0,"No","Yes")</f>
        <v>Yes</v>
      </c>
    </row>
    <row r="73" spans="1:9" x14ac:dyDescent="0.25">
      <c r="A73" t="s">
        <v>74</v>
      </c>
      <c r="B73" t="s">
        <v>178</v>
      </c>
      <c r="C73" s="3">
        <v>209</v>
      </c>
      <c r="D73" s="3">
        <f>SUMPRODUCT((Recipes!$A$2:$A$480=$B73)*IF(ISNUMBER(Recipes!$H$2:$H$480),Recipes!$H$2:$H$480,0))</f>
        <v>83.78</v>
      </c>
      <c r="E73" s="3">
        <f>IF($D73="","",$C73-$D73)</f>
        <v>125.22</v>
      </c>
      <c r="F73" s="4">
        <f>IF(OR($I73&lt;&gt;"Yes",$C73&lt;=0),"",($C73-$D73)/$C73)</f>
        <v>0.59912</v>
      </c>
      <c r="G73">
        <f>SUMPRODUCT((Recipes!$A$2:$A$480=$B73)*1)</f>
        <v>8</v>
      </c>
      <c r="H73">
        <f>SUMPRODUCT((Recipes!$A$2:$A$480=$B73)*(Recipes!$I$2:$I$480="No price yet"))</f>
        <v>0</v>
      </c>
      <c r="I73" t="str">
        <f>IF($H73&gt;0,"No","Yes")</f>
        <v>Yes</v>
      </c>
    </row>
    <row r="74" spans="1:9" x14ac:dyDescent="0.25">
      <c r="A74" t="s">
        <v>77</v>
      </c>
      <c r="B74" t="s">
        <v>179</v>
      </c>
      <c r="C74" s="3">
        <v>149</v>
      </c>
      <c r="D74" s="3">
        <f>SUMPRODUCT((Recipes!$A$2:$A$480=$B74)*IF(ISNUMBER(Recipes!$H$2:$H$480),Recipes!$H$2:$H$480,0))</f>
        <v>44.92</v>
      </c>
      <c r="E74" s="3">
        <f>IF($D74="","",$C74-$D74)</f>
        <v>104.08</v>
      </c>
      <c r="F74" s="4">
        <f>IF(OR($I74&lt;&gt;"Yes",$C74&lt;=0),"",($C74-$D74)/$C74)</f>
        <v>0.698523</v>
      </c>
      <c r="G74">
        <f>SUMPRODUCT((Recipes!$A$2:$A$480=$B74)*1)</f>
        <v>4</v>
      </c>
      <c r="H74">
        <f>SUMPRODUCT((Recipes!$A$2:$A$480=$B74)*(Recipes!$I$2:$I$480="No price yet"))</f>
        <v>0</v>
      </c>
      <c r="I74" t="str">
        <f>IF($H74&gt;0,"No","Yes")</f>
        <v>Yes</v>
      </c>
    </row>
    <row r="75" spans="1:9" x14ac:dyDescent="0.25">
      <c r="A75" t="s">
        <v>79</v>
      </c>
      <c r="B75" t="s">
        <v>180</v>
      </c>
      <c r="C75" s="3">
        <v>169</v>
      </c>
      <c r="D75" s="3">
        <f>SUMPRODUCT((Recipes!$A$2:$A$480=$B75)*IF(ISNUMBER(Recipes!$H$2:$H$480),Recipes!$H$2:$H$480,0))</f>
        <v>39.15</v>
      </c>
      <c r="E75" s="3">
        <f>IF($D75="","",$C75-$D75)</f>
        <v>129.85</v>
      </c>
      <c r="F75" s="4">
        <f>IF(OR($I75&lt;&gt;"Yes",$C75&lt;=0),"",($C75-$D75)/$C75)</f>
        <v>0.768356</v>
      </c>
      <c r="G75">
        <f>SUMPRODUCT((Recipes!$A$2:$A$480=$B75)*1)</f>
        <v>5</v>
      </c>
      <c r="H75">
        <f>SUMPRODUCT((Recipes!$A$2:$A$480=$B75)*(Recipes!$I$2:$I$480="No price yet"))</f>
        <v>0</v>
      </c>
      <c r="I75" t="str">
        <f>IF($H75&gt;0,"No","Yes")</f>
        <v>Yes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x14ac:dyDescent="0.25">
      <c r="A1" s="5" t="s">
        <v>189</v>
      </c>
    </row>
    <row r="2" spans="1:1" x14ac:dyDescent="0.25">
      <c r="A2" s="6" t="s">
        <v>190</v>
      </c>
    </row>
    <row r="3" spans="1:1" x14ac:dyDescent="0.25">
      <c r="A3" s="6" t="s">
        <v>191</v>
      </c>
    </row>
    <row r="4" spans="1:1" x14ac:dyDescent="0.25">
      <c r="A4" s="6" t="s">
        <v>192</v>
      </c>
    </row>
    <row r="5" spans="1:1" x14ac:dyDescent="0.25">
      <c r="A5" s="6" t="s">
        <v>193</v>
      </c>
    </row>
    <row r="6" spans="1:1" x14ac:dyDescent="0.25">
      <c r="A6" s="6" t="s">
        <v>190</v>
      </c>
    </row>
    <row r="7" spans="1:1" x14ac:dyDescent="0.25">
      <c r="A7" s="5" t="s">
        <v>194</v>
      </c>
    </row>
    <row r="8" spans="1:1" x14ac:dyDescent="0.25">
      <c r="A8" s="6" t="s">
        <v>195</v>
      </c>
    </row>
    <row r="9" spans="1:1" x14ac:dyDescent="0.25">
      <c r="A9" s="6" t="s">
        <v>196</v>
      </c>
    </row>
    <row r="10" spans="1:1" x14ac:dyDescent="0.25">
      <c r="A10" s="6" t="s">
        <v>190</v>
      </c>
    </row>
    <row r="11" spans="1:1" x14ac:dyDescent="0.25">
      <c r="A11" s="5" t="s">
        <v>197</v>
      </c>
    </row>
    <row r="12" spans="1:1" x14ac:dyDescent="0.25">
      <c r="A12" s="6" t="s">
        <v>198</v>
      </c>
    </row>
    <row r="13" spans="1:1" x14ac:dyDescent="0.25">
      <c r="A13" s="6" t="s">
        <v>199</v>
      </c>
    </row>
    <row r="14" spans="1:1" x14ac:dyDescent="0.25">
      <c r="A14" s="6" t="s">
        <v>200</v>
      </c>
    </row>
    <row r="15" spans="1:1" x14ac:dyDescent="0.25">
      <c r="A15" s="6" t="s">
        <v>201</v>
      </c>
    </row>
    <row r="16" spans="1:1" x14ac:dyDescent="0.25">
      <c r="A16" s="6" t="s">
        <v>190</v>
      </c>
    </row>
    <row r="17" spans="1:1" x14ac:dyDescent="0.25">
      <c r="A17" s="5" t="s">
        <v>202</v>
      </c>
    </row>
    <row r="18" spans="1:1" x14ac:dyDescent="0.25">
      <c r="A18" s="6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Recipes</vt:lpstr>
      <vt:lpstr>Dish Costs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2026-09-02T02:53:09Z</dcterms:created>
  <dcterms:modified xsi:type="dcterms:W3CDTF">2026-09-02T02:53:09Z</dcterms:modified>
</cp:coreProperties>
</file>